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d06306d67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wnership" sheetId="1" r:id="R0b3ea4d39fec4d3a"/>
    <x:sheet xmlns:r="http://schemas.openxmlformats.org/officeDocument/2006/relationships" name="Management Control" sheetId="2" r:id="R65e8976ec70a4fcf"/>
    <x:sheet xmlns:r="http://schemas.openxmlformats.org/officeDocument/2006/relationships" name="3 Board Members" sheetId="3" r:id="Rdc638f1758454872"/>
    <x:sheet xmlns:r="http://schemas.openxmlformats.org/officeDocument/2006/relationships" name="4 Executive Committee" sheetId="4" r:id="R32e9374b44044ecb"/>
    <x:sheet xmlns:r="http://schemas.openxmlformats.org/officeDocument/2006/relationships" name="5 Staff List" sheetId="5" r:id="Radf4e969588847fc"/>
    <x:sheet xmlns:r="http://schemas.openxmlformats.org/officeDocument/2006/relationships" name="Employment Equity" sheetId="6" r:id="R08d5264343fe40b8"/>
    <x:sheet xmlns:r="http://schemas.openxmlformats.org/officeDocument/2006/relationships" name="Skills Development" sheetId="7" r:id="Rc5c5ce671c45485f"/>
    <x:sheet xmlns:r="http://schemas.openxmlformats.org/officeDocument/2006/relationships" name="Cat A" sheetId="8" r:id="Rf6d8e643db4744b2"/>
    <x:sheet xmlns:r="http://schemas.openxmlformats.org/officeDocument/2006/relationships" name="Interns &amp; Learners" sheetId="9" r:id="R541feb10fd444de2"/>
    <x:sheet xmlns:r="http://schemas.openxmlformats.org/officeDocument/2006/relationships" name="Cat G" sheetId="10" r:id="Ra2b383f76a9d4e02"/>
    <x:sheet xmlns:r="http://schemas.openxmlformats.org/officeDocument/2006/relationships" name="Learner summary" sheetId="11" r:id="R193819cee2534172"/>
    <x:sheet xmlns:r="http://schemas.openxmlformats.org/officeDocument/2006/relationships" name="13 EMP201" sheetId="12" r:id="R69096972d5ba4198"/>
    <x:sheet xmlns:r="http://schemas.openxmlformats.org/officeDocument/2006/relationships" name="TMPS" sheetId="13" r:id="Rbc3230a633ab4b4a"/>
    <x:sheet xmlns:r="http://schemas.openxmlformats.org/officeDocument/2006/relationships" name="Procurement" sheetId="14" r:id="R8c51cc4854fe4516"/>
    <x:sheet xmlns:r="http://schemas.openxmlformats.org/officeDocument/2006/relationships" name="ED &amp; SD" sheetId="15" r:id="R94246489312045d5"/>
    <x:sheet xmlns:r="http://schemas.openxmlformats.org/officeDocument/2006/relationships" name="SED" sheetId="16" r:id="R50166834a75f442e"/>
    <x:sheet xmlns:r="http://schemas.openxmlformats.org/officeDocument/2006/relationships" name="Full Scorecard" sheetId="17" r:id="Raf3a7a564ac94286"/>
    <x:sheet xmlns:r="http://schemas.openxmlformats.org/officeDocument/2006/relationships" name="NPAT" sheetId="18" r:id="Raee9fb80eb8b43a4"/>
    <x:sheet xmlns:r="http://schemas.openxmlformats.org/officeDocument/2006/relationships" name="Instructions" sheetId="19" r:id="R87811287845847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FFFF"/>
      <x:name val="Carlito"/>
    </x:font>
    <x:font>
      <x:b/>
      <x:sz val="11"/>
      <x:color rgb="17255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B1220"/>
      </x:patternFill>
    </x:fill>
    <x:fill>
      <x:patternFill patternType="solid">
        <x:fgColor rgb="EAF2FF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c2c29d3194823" /><Relationship Type="http://schemas.openxmlformats.org/officeDocument/2006/relationships/theme" Target="/xl/theme/theme1.xml" Id="R8f04b5af87a44b35" /><Relationship Type="http://schemas.openxmlformats.org/officeDocument/2006/relationships/sharedStrings" Target="/xl/sharedStrings.xml" Id="R22dcef7bdfad4781" /><Relationship Type="http://schemas.openxmlformats.org/officeDocument/2006/relationships/worksheet" Target="/xl/worksheets/sheet1.xml" Id="R0b3ea4d39fec4d3a" /><Relationship Type="http://schemas.openxmlformats.org/officeDocument/2006/relationships/worksheet" Target="/xl/worksheets/sheet2.xml" Id="R65e8976ec70a4fcf" /><Relationship Type="http://schemas.openxmlformats.org/officeDocument/2006/relationships/worksheet" Target="/xl/worksheets/sheet3.xml" Id="Rdc638f1758454872" /><Relationship Type="http://schemas.openxmlformats.org/officeDocument/2006/relationships/worksheet" Target="/xl/worksheets/sheet4.xml" Id="R32e9374b44044ecb" /><Relationship Type="http://schemas.openxmlformats.org/officeDocument/2006/relationships/worksheet" Target="/xl/worksheets/sheet5.xml" Id="Radf4e969588847fc" /><Relationship Type="http://schemas.openxmlformats.org/officeDocument/2006/relationships/worksheet" Target="/xl/worksheets/sheet6.xml" Id="R08d5264343fe40b8" /><Relationship Type="http://schemas.openxmlformats.org/officeDocument/2006/relationships/worksheet" Target="/xl/worksheets/sheet7.xml" Id="Rc5c5ce671c45485f" /><Relationship Type="http://schemas.openxmlformats.org/officeDocument/2006/relationships/worksheet" Target="/xl/worksheets/sheet8.xml" Id="Rf6d8e643db4744b2" /><Relationship Type="http://schemas.openxmlformats.org/officeDocument/2006/relationships/worksheet" Target="/xl/worksheets/sheet9.xml" Id="R541feb10fd444de2" /><Relationship Type="http://schemas.openxmlformats.org/officeDocument/2006/relationships/worksheet" Target="/xl/worksheets/sheet10.xml" Id="Ra2b383f76a9d4e02" /><Relationship Type="http://schemas.openxmlformats.org/officeDocument/2006/relationships/worksheet" Target="/xl/worksheets/sheet11.xml" Id="R193819cee2534172" /><Relationship Type="http://schemas.openxmlformats.org/officeDocument/2006/relationships/worksheet" Target="/xl/worksheets/sheet12.xml" Id="R69096972d5ba4198" /><Relationship Type="http://schemas.openxmlformats.org/officeDocument/2006/relationships/worksheet" Target="/xl/worksheets/sheet13.xml" Id="Rbc3230a633ab4b4a" /><Relationship Type="http://schemas.openxmlformats.org/officeDocument/2006/relationships/worksheet" Target="/xl/worksheets/sheet14.xml" Id="R8c51cc4854fe4516" /><Relationship Type="http://schemas.openxmlformats.org/officeDocument/2006/relationships/worksheet" Target="/xl/worksheets/sheet15.xml" Id="R94246489312045d5" /><Relationship Type="http://schemas.openxmlformats.org/officeDocument/2006/relationships/worksheet" Target="/xl/worksheets/sheet16.xml" Id="R50166834a75f442e" /><Relationship Type="http://schemas.openxmlformats.org/officeDocument/2006/relationships/worksheet" Target="/xl/worksheets/sheet17.xml" Id="Raf3a7a564ac94286" /><Relationship Type="http://schemas.openxmlformats.org/officeDocument/2006/relationships/worksheet" Target="/xl/worksheets/sheet18.xml" Id="Raee9fb80eb8b43a4" /><Relationship Type="http://schemas.openxmlformats.org/officeDocument/2006/relationships/worksheet" Target="/xl/worksheets/sheet19.xml" Id="R87811287845847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</x:cols>
  <x:sheetData>
    <x:row r="1">
      <x:c r="A1" s="6" t="str">
        <x:v>Ownership</x:v>
      </x:c>
      <x:c r="B1" s="6"/>
      <x:c r="C1" s="6"/>
      <x:c r="D1" s="6"/>
      <x:c r="E1" s="6"/>
    </x:row>
    <x:row r="2" ht="32" customHeight="1">
      <x:c r="A2" s="14" t="str">
        <x:v>Indicator</x:v>
      </x:c>
      <x:c r="B2" s="14" t="str">
        <x:v>Weighting Points</x:v>
      </x:c>
      <x:c r="C2" s="14" t="str">
        <x:v>Target</x:v>
      </x:c>
      <x:c r="D2" s="14" t="str">
        <x:v>Verified Level</x:v>
      </x:c>
      <x:c r="E2" s="14" t="str">
        <x:v>Entity Score</x:v>
      </x:c>
    </x:row>
    <x:row r="3">
      <x:c r="A3" s="18" t="str">
        <x:v>Black people - Voting Rights</x:v>
      </x:c>
      <x:c r="B3" s="18" t="n">
        <x:v>4</x:v>
      </x:c>
      <x:c r="C3" s="18" t="str">
        <x:v>25% + 1 vote</x:v>
      </x:c>
      <x:c r="D3" s="18" t="n">
        <x:v>0.3</x:v>
      </x:c>
      <x:c r="E3" s="18" t="n">
        <x:f>MIN(D3/25%,1)*B3</x:f>
        <x:v>4</x:v>
      </x:c>
    </x:row>
    <x:row r="4">
      <x:c r="A4" s="18" t="str">
        <x:v>Black women - Voting Rights</x:v>
      </x:c>
      <x:c r="B4" s="18" t="n">
        <x:v>2</x:v>
      </x:c>
      <x:c r="C4" s="18" t="str">
        <x:v>10%</x:v>
      </x:c>
      <x:c r="D4" s="18" t="n">
        <x:v>0.12</x:v>
      </x:c>
      <x:c r="E4" s="18" t="n">
        <x:f>MIN(D4/10%,1)*B4</x:f>
        <x:v>2</x:v>
      </x:c>
    </x:row>
    <x:row r="5">
      <x:c r="A5" s="18" t="str">
        <x:v>Black people - Economic Interest</x:v>
      </x:c>
      <x:c r="B5" s="18" t="n">
        <x:v>4</x:v>
      </x:c>
      <x:c r="C5" s="18" t="str">
        <x:v>25%</x:v>
      </x:c>
      <x:c r="D5" s="18" t="n">
        <x:v>0.28</x:v>
      </x:c>
      <x:c r="E5" s="18" t="n">
        <x:f>MIN(D5/25%,1)*B5</x:f>
        <x:v>4</x:v>
      </x:c>
    </x:row>
    <x:row r="6">
      <x:c r="A6" s="18" t="str">
        <x:v>Black women - Economic Interest</x:v>
      </x:c>
      <x:c r="B6" s="18" t="n">
        <x:v>2</x:v>
      </x:c>
      <x:c r="C6" s="18" t="str">
        <x:v>10%</x:v>
      </x:c>
      <x:c r="D6" s="18" t="n">
        <x:v>0.11</x:v>
      </x:c>
      <x:c r="E6" s="18" t="n">
        <x:f>MIN(D6/10%,1)*B6</x:f>
        <x:v>2</x:v>
      </x:c>
    </x:row>
    <x:row r="7">
      <x:c r="A7" s="18" t="str">
        <x:v>ESOP / Black designated groups / B-BEE Schemes</x:v>
      </x:c>
      <x:c r="B7" s="18" t="n">
        <x:v>3</x:v>
      </x:c>
      <x:c r="C7" s="18" t="str">
        <x:v>3%</x:v>
      </x:c>
      <x:c r="D7" s="18" t="n">
        <x:v>0.04</x:v>
      </x:c>
      <x:c r="E7" s="18" t="n">
        <x:f>MIN(D7/3%,1)*B7</x:f>
        <x:v>3</x:v>
      </x:c>
    </x:row>
    <x:row r="8">
      <x:c r="A8" s="18" t="str">
        <x:v>New entrants</x:v>
      </x:c>
      <x:c r="B8" s="18" t="n">
        <x:v>2</x:v>
      </x:c>
      <x:c r="C8" s="18" t="str">
        <x:v>2%</x:v>
      </x:c>
      <x:c r="D8" s="18" t="n">
        <x:v>0.025</x:v>
      </x:c>
      <x:c r="E8" s="18" t="n">
        <x:f>MIN(D8/2%,1)*B8</x:f>
        <x:v>2</x:v>
      </x:c>
    </x:row>
    <x:row r="9">
      <x:c r="A9" s="18" t="str">
        <x:v>Net value</x:v>
      </x:c>
      <x:c r="B9" s="18" t="n">
        <x:v>8</x:v>
      </x:c>
      <x:c r="C9" s="18" t="str">
        <x:v>25%</x:v>
      </x:c>
      <x:c r="D9" s="18" t="n">
        <x:v>0.22</x:v>
      </x:c>
      <x:c r="E9" s="18" t="n">
        <x:f>MIN(D9/25%,1)*B9</x:f>
        <x:v>7.04</x:v>
      </x:c>
    </x:row>
    <x:row r="10">
      <x:c r="A10" s="18" t="str">
        <x:v>Total</x:v>
      </x:c>
      <x:c r="B10" s="18" t="n">
        <x:v>25</x:v>
      </x:c>
      <x:c r="C10" s="18" t="str"/>
      <x:c r="D10" s="18" t="str"/>
      <x:c r="E10" s="18" t="n">
        <x:f>SUM(E3:E9)</x:f>
        <x:v>24.04</x:v>
      </x:c>
    </x:row>
    <x:row r="11">
      <x:c r="A11" s="18"/>
      <x:c r="B11" s="18"/>
      <x:c r="C11" s="18"/>
      <x:c r="D11" s="18"/>
      <x:c r="E11" s="18"/>
    </x:row>
    <x:row r="12">
      <x:c r="A12" s="18" t="str">
        <x:v>Shareholder</x:v>
      </x:c>
      <x:c r="B12" s="18" t="str">
        <x:v>Black Owned %</x:v>
      </x:c>
      <x:c r="C12" s="18" t="str">
        <x:v>Black Women Owned %</x:v>
      </x:c>
      <x:c r="D12" s="18" t="str">
        <x:v>Black Designated Group %</x:v>
      </x:c>
      <x:c r="E12" s="18"/>
    </x:row>
    <x:row r="13">
      <x:c r="A13" s="18" t="str">
        <x:v>Founder Trust</x:v>
      </x:c>
      <x:c r="B13" s="18" t="n">
        <x:v>0.2</x:v>
      </x:c>
      <x:c r="C13" s="18" t="n">
        <x:v>0.08</x:v>
      </x:c>
      <x:c r="D13" s="18" t="n">
        <x:v>0.02</x:v>
      </x:c>
      <x:c r="E13" s="18"/>
    </x:row>
    <x:row r="14">
      <x:c r="A14" s="18" t="str">
        <x:v>Women Investment Co</x:v>
      </x:c>
      <x:c r="B14" s="18" t="n">
        <x:v>0.1</x:v>
      </x:c>
      <x:c r="C14" s="18" t="n">
        <x:v>0.1</x:v>
      </x:c>
      <x:c r="D14" s="18" t="n">
        <x:v>0.02</x:v>
      </x:c>
      <x:c r="E14" s="18"/>
    </x:row>
    <x:row r="15">
      <x:c r="A15" s="18" t="str">
        <x:v>ESOP</x:v>
      </x:c>
      <x:c r="B15" s="18" t="n">
        <x:v>0.04</x:v>
      </x:c>
      <x:c r="C15" s="18" t="n">
        <x:v>0.02</x:v>
      </x:c>
      <x:c r="D15" s="18" t="n">
        <x:v>0.04</x:v>
      </x:c>
      <x:c r="E15" s="18"/>
    </x:row>
    <x:row r="16">
      <x:c r="A16" s="18" t="str">
        <x:v>Total</x:v>
      </x:c>
      <x:c r="B16" s="18" t="n">
        <x:f>SUM(B13:B15)</x:f>
        <x:v>0.34</x:v>
      </x:c>
      <x:c r="C16" s="18" t="n">
        <x:f>SUM(C13:C15)</x:f>
        <x:v>0.19999999999999998</x:v>
      </x:c>
      <x:c r="D16" s="18" t="n">
        <x:f>SUM(D13:D15)</x:f>
        <x:v>0.08</x:v>
      </x:c>
      <x:c r="E16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Management Control</x:v>
      </x:c>
      <x:c r="B1" s="6"/>
      <x:c r="C1" s="6"/>
      <x:c r="D1" s="6"/>
      <x:c r="E1" s="6"/>
    </x:row>
    <x:row r="2" ht="32" customHeight="1">
      <x:c r="A2" s="14" t="str">
        <x:v>Measurement Category &amp; Criteria</x:v>
      </x:c>
      <x:c r="B2" s="14" t="str">
        <x:v>Target %</x:v>
      </x:c>
      <x:c r="C2" s="14" t="str">
        <x:v>Target Points</x:v>
      </x:c>
      <x:c r="D2" s="14" t="str">
        <x:v>Achieved %</x:v>
      </x:c>
      <x:c r="E2" s="14" t="str">
        <x:v>Points Awarded</x:v>
      </x:c>
    </x:row>
    <x:row r="3">
      <x:c r="A3" s="18" t="str">
        <x:v>Exercisable voting rights of black board members</x:v>
      </x:c>
      <x:c r="B3" s="18" t="n">
        <x:v>0.5</x:v>
      </x:c>
      <x:c r="C3" s="18" t="n">
        <x:v>2</x:v>
      </x:c>
      <x:c r="D3" s="18" t="n">
        <x:v>0.6</x:v>
      </x:c>
      <x:c r="E3" s="18" t="n">
        <x:f>MIN(D3/B3,1)*C3</x:f>
        <x:v>2</x:v>
      </x:c>
    </x:row>
    <x:row r="4">
      <x:c r="A4" s="18" t="str">
        <x:v>Exercisable voting rights of black female board members</x:v>
      </x:c>
      <x:c r="B4" s="18" t="n">
        <x:v>0.25</x:v>
      </x:c>
      <x:c r="C4" s="18" t="n">
        <x:v>1</x:v>
      </x:c>
      <x:c r="D4" s="18" t="n">
        <x:v>0.3</x:v>
      </x:c>
      <x:c r="E4" s="18" t="n">
        <x:f>MIN(D4/B4,1)*C4</x:f>
        <x:v>1</x:v>
      </x:c>
    </x:row>
    <x:row r="5">
      <x:c r="A5" s="18" t="str">
        <x:v>Black Executive Directors as % of all executive directors</x:v>
      </x:c>
      <x:c r="B5" s="18" t="n">
        <x:v>0.5</x:v>
      </x:c>
      <x:c r="C5" s="18" t="n">
        <x:v>2</x:v>
      </x:c>
      <x:c r="D5" s="18" t="n">
        <x:v>0.5</x:v>
      </x:c>
      <x:c r="E5" s="18" t="n">
        <x:f>MIN(D5/B5,1)*C5</x:f>
        <x:v>2</x:v>
      </x:c>
    </x:row>
    <x:row r="6">
      <x:c r="A6" s="18" t="str">
        <x:v>Black female Executive Directors as % of all executive directors</x:v>
      </x:c>
      <x:c r="B6" s="18" t="n">
        <x:v>0.25</x:v>
      </x:c>
      <x:c r="C6" s="18" t="n">
        <x:v>1</x:v>
      </x:c>
      <x:c r="D6" s="18" t="n">
        <x:v>0.25</x:v>
      </x:c>
      <x:c r="E6" s="18" t="n">
        <x:f>MIN(D6/B6,1)*C6</x:f>
        <x:v>1</x:v>
      </x:c>
    </x:row>
    <x:row r="7">
      <x:c r="A7" s="18" t="str">
        <x:v>Black other Executive Managers as % of all executive management</x:v>
      </x:c>
      <x:c r="B7" s="18" t="n">
        <x:v>0.6</x:v>
      </x:c>
      <x:c r="C7" s="18" t="n">
        <x:v>4</x:v>
      </x:c>
      <x:c r="D7" s="18" t="n">
        <x:v>0.55</x:v>
      </x:c>
      <x:c r="E7" s="18" t="n">
        <x:f>MIN(D7/B7,1)*C7</x:f>
        <x:v>3.666666666666667</x:v>
      </x:c>
    </x:row>
    <x:row r="8">
      <x:c r="A8" s="18" t="str">
        <x:v>Black Female other Executive Managers as % of all executive management</x:v>
      </x:c>
      <x:c r="B8" s="18" t="n">
        <x:v>0.3</x:v>
      </x:c>
      <x:c r="C8" s="18" t="n">
        <x:v>4</x:v>
      </x:c>
      <x:c r="D8" s="18" t="n">
        <x:v>0.25</x:v>
      </x:c>
      <x:c r="E8" s="18" t="n">
        <x:f>MIN(D8/B8,1)*C8</x:f>
        <x:v>3.3333333333333335</x:v>
      </x:c>
    </x:row>
    <x:row r="9">
      <x:c r="A9" s="18" t="str">
        <x:v>Total</x:v>
      </x:c>
      <x:c r="B9" s="18" t="str"/>
      <x:c r="C9" s="18" t="n">
        <x:v>14</x:v>
      </x:c>
      <x:c r="D9" s="18" t="str"/>
      <x:c r="E9" s="18" t="n">
        <x:f>SUM(E3:E8)</x:f>
        <x:v>13.000000000000002</x:v>
      </x:c>
    </x:row>
    <x:row r="10">
      <x:c r="A10" s="18"/>
      <x:c r="B10" s="18"/>
      <x:c r="C10" s="18"/>
      <x:c r="D10" s="18"/>
      <x:c r="E10" s="18"/>
    </x:row>
    <x:row r="11">
      <x:c r="A11" s="18" t="str">
        <x:v>Input</x:v>
      </x:c>
      <x:c r="B11" s="18" t="str">
        <x:v>Value</x:v>
      </x:c>
      <x:c r="C11" s="18"/>
      <x:c r="D11" s="18"/>
      <x:c r="E11" s="18"/>
    </x:row>
    <x:row r="12">
      <x:c r="A12" s="18" t="str">
        <x:v>Black Board Members</x:v>
      </x:c>
      <x:c r="B12" s="18" t="n">
        <x:v>3</x:v>
      </x:c>
      <x:c r="C12" s="18"/>
      <x:c r="D12" s="18"/>
      <x:c r="E12" s="18"/>
    </x:row>
    <x:row r="13">
      <x:c r="A13" s="18" t="str">
        <x:v>Total Board Members</x:v>
      </x:c>
      <x:c r="B13" s="18" t="n">
        <x:v>5</x:v>
      </x:c>
      <x:c r="C13" s="18"/>
      <x:c r="D13" s="18"/>
      <x:c r="E13" s="18"/>
    </x:row>
    <x:row r="14">
      <x:c r="A14" s="18" t="str">
        <x:v>Black Female Board Members</x:v>
      </x:c>
      <x:c r="B14" s="18" t="n">
        <x:v>2</x:v>
      </x:c>
      <x:c r="C14" s="18"/>
      <x:c r="D14" s="18"/>
      <x:c r="E14" s="18"/>
    </x:row>
    <x:row r="15">
      <x:c r="A15" s="18" t="str">
        <x:v>Black Executive Directors</x:v>
      </x:c>
      <x:c r="B15" s="18" t="n">
        <x:v>1</x:v>
      </x:c>
      <x:c r="C15" s="18"/>
      <x:c r="D15" s="18"/>
      <x:c r="E15" s="18"/>
    </x:row>
    <x:row r="16">
      <x:c r="A16" s="18" t="str">
        <x:v>Total Executive Directors</x:v>
      </x:c>
      <x:c r="B16" s="18" t="n">
        <x:v>2</x:v>
      </x:c>
      <x:c r="C16" s="18"/>
      <x:c r="D16" s="18"/>
      <x:c r="E16" s="18"/>
    </x:row>
    <x:row r="17">
      <x:c r="A17" s="18" t="str">
        <x:v>Black Female Executive Directors</x:v>
      </x:c>
      <x:c r="B17" s="18" t="n">
        <x:v>1</x:v>
      </x:c>
      <x:c r="C17" s="18"/>
      <x:c r="D17" s="18"/>
      <x:c r="E17" s="18"/>
    </x:row>
    <x:row r="18">
      <x:c r="A18" s="18" t="str">
        <x:v>Black Executive Management</x:v>
      </x:c>
      <x:c r="B18" s="18" t="n">
        <x:v>3</x:v>
      </x:c>
      <x:c r="C18" s="18"/>
      <x:c r="D18" s="18"/>
      <x:c r="E18" s="18"/>
    </x:row>
    <x:row r="19">
      <x:c r="A19" s="18" t="str">
        <x:v>Total Executive Management</x:v>
      </x:c>
      <x:c r="B19" s="18" t="n">
        <x:v>6</x:v>
      </x:c>
      <x:c r="C19" s="18"/>
      <x:c r="D19" s="18"/>
      <x:c r="E19" s="18"/>
    </x:row>
    <x:row r="20">
      <x:c r="A20" s="18" t="str">
        <x:v>Black Female Executive Management</x:v>
      </x:c>
      <x:c r="B20" s="18" t="n">
        <x:v>2</x:v>
      </x:c>
      <x:c r="C20" s="18"/>
      <x:c r="D20" s="18"/>
      <x:c r="E20" s="1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</x:cols>
  <x:sheetData>
    <x:row r="1">
      <x:c r="A1" s="6" t="str">
        <x:v>Board Members</x:v>
      </x:c>
      <x:c r="B1" s="6"/>
      <x:c r="C1" s="6"/>
      <x:c r="D1" s="6"/>
      <x:c r="E1" s="6"/>
      <x:c r="F1" s="6"/>
      <x:c r="G1" s="6"/>
      <x:c r="H1" s="6"/>
    </x:row>
    <x:row r="2" ht="32" customHeight="1">
      <x:c r="A2" s="14" t="str">
        <x:v>Name and Surname</x:v>
      </x:c>
      <x:c r="B2" s="14" t="str">
        <x:v>Executive/Non-Executive/Independent Non-Executive</x:v>
      </x:c>
      <x:c r="C2" s="14" t="str">
        <x:v>Gender</x:v>
      </x:c>
      <x:c r="D2" s="14" t="str">
        <x:v>Race</x:v>
      </x:c>
      <x:c r="E2" s="14" t="str">
        <x:v>Nationality</x:v>
      </x:c>
      <x:c r="F2" s="14" t="str">
        <x:v>Appointment Date</x:v>
      </x:c>
      <x:c r="G2" s="14" t="str">
        <x:v>Resignation Date</x:v>
      </x:c>
      <x:c r="H2" s="14" t="str">
        <x:v>Identity Number</x:v>
      </x:c>
    </x:row>
    <x:row r="3">
      <x:c r="A3" s="18" t="str">
        <x:v>Skhumbuzo Sample</x:v>
      </x:c>
      <x:c r="B3" s="18" t="str">
        <x:v>Executive</x:v>
      </x:c>
      <x:c r="C3" s="18" t="str">
        <x:v>Male</x:v>
      </x:c>
      <x:c r="D3" s="18" t="str">
        <x:v>African</x:v>
      </x:c>
      <x:c r="E3" s="18" t="str">
        <x:v>South African</x:v>
      </x:c>
      <x:c r="F3" s="18" t="n">
        <x:v>44576</x:v>
      </x:c>
      <x:c r="G3" s="18" t="str">
        <x:v>Active</x:v>
      </x:c>
      <x:c r="H3" s="18" t="str">
        <x:v>84323422111</x:v>
      </x:c>
    </x:row>
    <x:row r="4">
      <x:c r="A4" s="18" t="str">
        <x:v>Nandi Mokoena</x:v>
      </x:c>
      <x:c r="B4" s="18" t="str">
        <x:v>Independent Non-Executive</x:v>
      </x:c>
      <x:c r="C4" s="18" t="str">
        <x:v>Female</x:v>
      </x:c>
      <x:c r="D4" s="18" t="str">
        <x:v>African</x:v>
      </x:c>
      <x:c r="E4" s="18" t="str">
        <x:v>South African</x:v>
      </x:c>
      <x:c r="F4" s="18" t="n">
        <x:v>44317</x:v>
      </x:c>
      <x:c r="G4" s="18" t="str">
        <x:v>Active</x:v>
      </x:c>
      <x:c r="H4" s="18" t="str">
        <x:v>8801011234082</x:v>
      </x:c>
    </x:row>
    <x:row r="5">
      <x:c r="A5" s="18" t="str">
        <x:v>Ahmed Patel</x:v>
      </x:c>
      <x:c r="B5" s="18" t="str">
        <x:v>Non-Executive</x:v>
      </x:c>
      <x:c r="C5" s="18" t="str">
        <x:v>Male</x:v>
      </x:c>
      <x:c r="D5" s="18" t="str">
        <x:v>Indian</x:v>
      </x:c>
      <x:c r="E5" s="18" t="str">
        <x:v>South African</x:v>
      </x:c>
      <x:c r="F5" s="18" t="n">
        <x:v>43901</x:v>
      </x:c>
      <x:c r="G5" s="18" t="str">
        <x:v>Active</x:v>
      </x:c>
      <x:c r="H5" s="18" t="str">
        <x:v>7905051234081</x:v>
      </x:c>
    </x:row>
    <x:row r="6">
      <x:c r="A6" s="18" t="str">
        <x:v>Sarah Jacobs</x:v>
      </x:c>
      <x:c r="B6" s="18" t="str">
        <x:v>Executive</x:v>
      </x:c>
      <x:c r="C6" s="18" t="str">
        <x:v>Female</x:v>
      </x:c>
      <x:c r="D6" s="18" t="str">
        <x:v>Coloured</x:v>
      </x:c>
      <x:c r="E6" s="18" t="str">
        <x:v>South African</x:v>
      </x:c>
      <x:c r="F6" s="18" t="n">
        <x:v>44977</x:v>
      </x:c>
      <x:c r="G6" s="18" t="str">
        <x:v>Active</x:v>
      </x:c>
      <x:c r="H6" s="18" t="str">
        <x:v>9202021234080</x:v>
      </x:c>
    </x:row>
    <x:row r="7">
      <x:c r="A7" s="18" t="str">
        <x:v>John Smith</x:v>
      </x:c>
      <x:c r="B7" s="18" t="str">
        <x:v>Non-Executive</x:v>
      </x:c>
      <x:c r="C7" s="18" t="str">
        <x:v>Male</x:v>
      </x:c>
      <x:c r="D7" s="18" t="str">
        <x:v>White</x:v>
      </x:c>
      <x:c r="E7" s="18" t="str">
        <x:v>South African</x:v>
      </x:c>
      <x:c r="F7" s="18" t="n">
        <x:v>43686</x:v>
      </x:c>
      <x:c r="G7" s="18" t="str">
        <x:v>Active</x:v>
      </x:c>
      <x:c r="H7" s="18" t="str">
        <x:v>7506061234083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6" hidden="0" customWidth="1"/>
    <x:col min="3" max="3" width="14" hidden="0" customWidth="1"/>
    <x:col min="4" max="4" width="14" hidden="0" customWidth="1"/>
    <x:col min="5" max="5" width="18" hidden="0" customWidth="1"/>
    <x:col min="6" max="6" width="24" hidden="0" customWidth="1"/>
  </x:cols>
  <x:sheetData>
    <x:row r="1">
      <x:c r="A1" s="6" t="str">
        <x:v>Executive Committee</x:v>
      </x:c>
      <x:c r="B1" s="6"/>
      <x:c r="C1" s="6"/>
      <x:c r="D1" s="6"/>
      <x:c r="E1" s="6"/>
      <x:c r="F1" s="6"/>
    </x:row>
    <x:row r="2" ht="32" customHeight="1">
      <x:c r="A2" s="14" t="str">
        <x:v>Name and Surname</x:v>
      </x:c>
      <x:c r="B2" s="14" t="str">
        <x:v>Executive Director / Executive Manager</x:v>
      </x:c>
      <x:c r="C2" s="14" t="str">
        <x:v>Gender</x:v>
      </x:c>
      <x:c r="D2" s="14" t="str">
        <x:v>Race</x:v>
      </x:c>
      <x:c r="E2" s="14" t="str">
        <x:v>Nationality</x:v>
      </x:c>
      <x:c r="F2" s="14" t="str">
        <x:v>Position/Designation</x:v>
      </x:c>
    </x:row>
    <x:row r="3">
      <x:c r="A3" s="18" t="str">
        <x:v>Skhumbuzo Sample</x:v>
      </x:c>
      <x:c r="B3" s="18" t="str">
        <x:v>Executive Director</x:v>
      </x:c>
      <x:c r="C3" s="18" t="str">
        <x:v>Male</x:v>
      </x:c>
      <x:c r="D3" s="18" t="str">
        <x:v>African</x:v>
      </x:c>
      <x:c r="E3" s="18" t="str">
        <x:v>South African</x:v>
      </x:c>
      <x:c r="F3" s="18" t="str">
        <x:v>CEO</x:v>
      </x:c>
    </x:row>
    <x:row r="4">
      <x:c r="A4" s="18" t="str">
        <x:v>Edward Sample 2</x:v>
      </x:c>
      <x:c r="B4" s="18" t="str">
        <x:v>Executive Manager</x:v>
      </x:c>
      <x:c r="C4" s="18" t="str">
        <x:v>Female</x:v>
      </x:c>
      <x:c r="D4" s="18" t="str">
        <x:v>Coloured</x:v>
      </x:c>
      <x:c r="E4" s="18" t="str">
        <x:v>South African</x:v>
      </x:c>
      <x:c r="F4" s="18" t="str">
        <x:v>CIO</x:v>
      </x:c>
    </x:row>
    <x:row r="5">
      <x:c r="A5" s="18" t="str">
        <x:v>Nandi Mokoena</x:v>
      </x:c>
      <x:c r="B5" s="18" t="str">
        <x:v>Executive Manager</x:v>
      </x:c>
      <x:c r="C5" s="18" t="str">
        <x:v>Female</x:v>
      </x:c>
      <x:c r="D5" s="18" t="str">
        <x:v>African</x:v>
      </x:c>
      <x:c r="E5" s="18" t="str">
        <x:v>South African</x:v>
      </x:c>
      <x:c r="F5" s="18" t="str">
        <x:v>COO</x:v>
      </x:c>
    </x:row>
    <x:row r="6">
      <x:c r="A6" s="18" t="str">
        <x:v>Ahmed Patel</x:v>
      </x:c>
      <x:c r="B6" s="18" t="str">
        <x:v>Executive Manager</x:v>
      </x:c>
      <x:c r="C6" s="18" t="str">
        <x:v>Male</x:v>
      </x:c>
      <x:c r="D6" s="18" t="str">
        <x:v>Indian</x:v>
      </x:c>
      <x:c r="E6" s="18" t="str">
        <x:v>South African</x:v>
      </x:c>
      <x:c r="F6" s="18" t="str">
        <x:v>CFO</x:v>
      </x:c>
    </x:row>
    <x:row r="7">
      <x:c r="A7" s="18" t="str">
        <x:v>Jan van Rensburg</x:v>
      </x:c>
      <x:c r="B7" s="18" t="str">
        <x:v>Executive Manager</x:v>
      </x:c>
      <x:c r="C7" s="18" t="str">
        <x:v>Male</x:v>
      </x:c>
      <x:c r="D7" s="18" t="str">
        <x:v>White</x:v>
      </x:c>
      <x:c r="E7" s="18" t="str">
        <x:v>South African</x:v>
      </x:c>
      <x:c r="F7" s="18" t="str">
        <x:v>Operations Director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4" hidden="0" customWidth="1"/>
    <x:col min="5" max="5" width="14" hidden="0" customWidth="1"/>
    <x:col min="6" max="6" width="20" hidden="0" customWidth="1"/>
    <x:col min="7" max="7" width="24" hidden="0" customWidth="1"/>
  </x:cols>
  <x:sheetData>
    <x:row r="1">
      <x:c r="A1" s="6" t="str">
        <x:v>Staff List</x:v>
      </x:c>
      <x:c r="B1" s="6"/>
      <x:c r="C1" s="6"/>
      <x:c r="D1" s="6"/>
      <x:c r="E1" s="6"/>
      <x:c r="F1" s="6"/>
      <x:c r="G1" s="6"/>
    </x:row>
    <x:row r="2" ht="32" customHeight="1">
      <x:c r="A2" s="14" t="str">
        <x:v>Name</x:v>
      </x:c>
      <x:c r="B2" s="14" t="str">
        <x:v>Surname</x:v>
      </x:c>
      <x:c r="C2" s="14" t="str">
        <x:v>Title</x:v>
      </x:c>
      <x:c r="D2" s="14" t="str">
        <x:v>Gender</x:v>
      </x:c>
      <x:c r="E2" s="14" t="str">
        <x:v>Race</x:v>
      </x:c>
      <x:c r="F2" s="14" t="str">
        <x:v>Permanent/Contract</x:v>
      </x:c>
      <x:c r="G2" s="14" t="str">
        <x:v>Occupational Level</x:v>
      </x:c>
    </x:row>
    <x:row r="3">
      <x:c r="A3" s="18" t="str">
        <x:v>Lerato</x:v>
      </x:c>
      <x:c r="B3" s="18" t="str">
        <x:v>Maseko</x:v>
      </x:c>
      <x:c r="C3" s="18" t="str">
        <x:v>Senior Manager</x:v>
      </x:c>
      <x:c r="D3" s="18" t="str">
        <x:v>Female</x:v>
      </x:c>
      <x:c r="E3" s="18" t="str">
        <x:v>African</x:v>
      </x:c>
      <x:c r="F3" s="18" t="str">
        <x:v>Permanent</x:v>
      </x:c>
      <x:c r="G3" s="18" t="str">
        <x:v>Senior Management</x:v>
      </x:c>
    </x:row>
    <x:row r="4">
      <x:c r="A4" s="18" t="str">
        <x:v>Thabo</x:v>
      </x:c>
      <x:c r="B4" s="18" t="str">
        <x:v>Ndlovu</x:v>
      </x:c>
      <x:c r="C4" s="18" t="str">
        <x:v>Middle Manager</x:v>
      </x:c>
      <x:c r="D4" s="18" t="str">
        <x:v>Male</x:v>
      </x:c>
      <x:c r="E4" s="18" t="str">
        <x:v>African</x:v>
      </x:c>
      <x:c r="F4" s="18" t="str">
        <x:v>Permanent</x:v>
      </x:c>
      <x:c r="G4" s="18" t="str">
        <x:v>Middle Management</x:v>
      </x:c>
    </x:row>
    <x:row r="5">
      <x:c r="A5" s="18" t="str">
        <x:v>Priya</x:v>
      </x:c>
      <x:c r="B5" s="18" t="str">
        <x:v>Naidoo</x:v>
      </x:c>
      <x:c r="C5" s="18" t="str">
        <x:v>Junior Manager</x:v>
      </x:c>
      <x:c r="D5" s="18" t="str">
        <x:v>Female</x:v>
      </x:c>
      <x:c r="E5" s="18" t="str">
        <x:v>Indian</x:v>
      </x:c>
      <x:c r="F5" s="18" t="str">
        <x:v>Permanent</x:v>
      </x:c>
      <x:c r="G5" s="18" t="str">
        <x:v>Junior Management</x:v>
      </x:c>
    </x:row>
    <x:row r="6">
      <x:c r="A6" s="18" t="str">
        <x:v>Michael</x:v>
      </x:c>
      <x:c r="B6" s="18" t="str">
        <x:v>Adams</x:v>
      </x:c>
      <x:c r="C6" s="18" t="str">
        <x:v>Administrator</x:v>
      </x:c>
      <x:c r="D6" s="18" t="str">
        <x:v>Male</x:v>
      </x:c>
      <x:c r="E6" s="18" t="str">
        <x:v>Coloured</x:v>
      </x:c>
      <x:c r="F6" s="18" t="str">
        <x:v>Permanent</x:v>
      </x:c>
      <x:c r="G6" s="18" t="str">
        <x:v>Junior Management</x:v>
      </x:c>
    </x:row>
    <x:row r="7">
      <x:c r="A7" s="18" t="str">
        <x:v>Susan</x:v>
      </x:c>
      <x:c r="B7" s="18" t="str">
        <x:v>Botha</x:v>
      </x:c>
      <x:c r="C7" s="18" t="str">
        <x:v>Analyst</x:v>
      </x:c>
      <x:c r="D7" s="18" t="str">
        <x:v>Female</x:v>
      </x:c>
      <x:c r="E7" s="18" t="str">
        <x:v>White</x:v>
      </x:c>
      <x:c r="F7" s="18" t="str">
        <x:v>Contract</x:v>
      </x:c>
      <x:c r="G7" s="18" t="str">
        <x:v>Junior Management</x:v>
      </x:c>
    </x:row>
    <x:row r="8">
      <x:c r="A8" s="18" t="str">
        <x:v>Sipho</x:v>
      </x:c>
      <x:c r="B8" s="18" t="str">
        <x:v>Dlamini</x:v>
      </x:c>
      <x:c r="C8" s="18" t="str">
        <x:v>Intern</x:v>
      </x:c>
      <x:c r="D8" s="18" t="str">
        <x:v>Male</x:v>
      </x:c>
      <x:c r="E8" s="18" t="str">
        <x:v>African</x:v>
      </x:c>
      <x:c r="F8" s="18" t="str">
        <x:v>Contract</x:v>
      </x:c>
      <x:c r="G8" s="18" t="str">
        <x:v>Learner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Employment Equity</x:v>
      </x:c>
      <x:c r="B1" s="6"/>
      <x:c r="C1" s="6"/>
      <x:c r="D1" s="6"/>
      <x:c r="E1" s="6"/>
    </x:row>
    <x:row r="2" ht="32" customHeight="1">
      <x:c r="A2" s="14" t="str">
        <x:v>Measurement Category &amp; Criteria</x:v>
      </x:c>
      <x:c r="B2" s="14" t="str">
        <x:v>Target</x:v>
      </x:c>
      <x:c r="C2" s="14" t="str">
        <x:v>Available Points</x:v>
      </x:c>
      <x:c r="D2" s="14" t="str">
        <x:v>Achieved %</x:v>
      </x:c>
      <x:c r="E2" s="14" t="str">
        <x:v>Points Achieved</x:v>
      </x:c>
    </x:row>
    <x:row r="3">
      <x:c r="A3" s="18" t="str">
        <x:v>Black employees in Senior Management</x:v>
      </x:c>
      <x:c r="B3" s="18" t="n">
        <x:v>0.6</x:v>
      </x:c>
      <x:c r="C3" s="18" t="n">
        <x:v>2</x:v>
      </x:c>
      <x:c r="D3" s="18" t="n">
        <x:v>0.65</x:v>
      </x:c>
      <x:c r="E3" s="18" t="n">
        <x:f>MIN(D3/B3,1)*C3</x:f>
        <x:v>2</x:v>
      </x:c>
    </x:row>
    <x:row r="4">
      <x:c r="A4" s="18" t="str">
        <x:v>Black female employees in Senior Management</x:v>
      </x:c>
      <x:c r="B4" s="18" t="n">
        <x:v>0.3</x:v>
      </x:c>
      <x:c r="C4" s="18" t="n">
        <x:v>1</x:v>
      </x:c>
      <x:c r="D4" s="18" t="n">
        <x:v>0.35</x:v>
      </x:c>
      <x:c r="E4" s="18" t="n">
        <x:f>MIN(D4/B4,1)*C4</x:f>
        <x:v>1</x:v>
      </x:c>
    </x:row>
    <x:row r="5">
      <x:c r="A5" s="18" t="str">
        <x:v>Black employees in Middle Management</x:v>
      </x:c>
      <x:c r="B5" s="18" t="n">
        <x:v>0.75</x:v>
      </x:c>
      <x:c r="C5" s="18" t="n">
        <x:v>2</x:v>
      </x:c>
      <x:c r="D5" s="18" t="n">
        <x:v>0.72</x:v>
      </x:c>
      <x:c r="E5" s="18" t="n">
        <x:f>MIN(D5/B5,1)*C5</x:f>
        <x:v>1.92</x:v>
      </x:c>
    </x:row>
    <x:row r="6">
      <x:c r="A6" s="18" t="str">
        <x:v>Black female employees in Middle Management</x:v>
      </x:c>
      <x:c r="B6" s="18" t="n">
        <x:v>0.38</x:v>
      </x:c>
      <x:c r="C6" s="18" t="n">
        <x:v>1</x:v>
      </x:c>
      <x:c r="D6" s="18" t="n">
        <x:v>0.4</x:v>
      </x:c>
      <x:c r="E6" s="18" t="n">
        <x:f>MIN(D6/B6,1)*C6</x:f>
        <x:v>1</x:v>
      </x:c>
    </x:row>
    <x:row r="7">
      <x:c r="A7" s="18" t="str">
        <x:v>Black employees in Junior Management</x:v>
      </x:c>
      <x:c r="B7" s="18" t="n">
        <x:v>0.88</x:v>
      </x:c>
      <x:c r="C7" s="18" t="n">
        <x:v>1</x:v>
      </x:c>
      <x:c r="D7" s="18" t="n">
        <x:v>0.8</x:v>
      </x:c>
      <x:c r="E7" s="18" t="n">
        <x:f>MIN(D7/B7,1)*C7</x:f>
        <x:v>0.9090909090909092</x:v>
      </x:c>
    </x:row>
    <x:row r="8">
      <x:c r="A8" s="18" t="str">
        <x:v>Black female employees in Junior Management</x:v>
      </x:c>
      <x:c r="B8" s="18" t="n">
        <x:v>0.44</x:v>
      </x:c>
      <x:c r="C8" s="18" t="n">
        <x:v>1</x:v>
      </x:c>
      <x:c r="D8" s="18" t="n">
        <x:v>0.42</x:v>
      </x:c>
      <x:c r="E8" s="18" t="n">
        <x:f>MIN(D8/B8,1)*C8</x:f>
        <x:v>0.9545454545454545</x:v>
      </x:c>
    </x:row>
    <x:row r="9">
      <x:c r="A9" s="18" t="str">
        <x:v>Black employees with disabilities</x:v>
      </x:c>
      <x:c r="B9" s="18" t="n">
        <x:v>0.02</x:v>
      </x:c>
      <x:c r="C9" s="18" t="n">
        <x:v>2</x:v>
      </x:c>
      <x:c r="D9" s="18" t="n">
        <x:v>0.03</x:v>
      </x:c>
      <x:c r="E9" s="18" t="n">
        <x:f>MIN(D9/B9,1)*C9</x:f>
        <x:v>2</x:v>
      </x:c>
    </x:row>
    <x:row r="10">
      <x:c r="A10" s="18" t="str">
        <x:v>Total</x:v>
      </x:c>
      <x:c r="B10" s="18" t="str"/>
      <x:c r="C10" s="18" t="n">
        <x:v>24</x:v>
      </x:c>
      <x:c r="D10" s="18" t="str"/>
      <x:c r="E10" s="18" t="n">
        <x:f>SUM(E3:E9)</x:f>
        <x:v>9.783636363636363</x:v>
      </x:c>
    </x:row>
    <x:row r="11">
      <x:c r="A11" s="18"/>
      <x:c r="B11" s="18"/>
      <x:c r="C11" s="18"/>
      <x:c r="D11" s="18"/>
      <x:c r="E11" s="18"/>
    </x:row>
    <x:row r="12">
      <x:c r="A12" s="18" t="str">
        <x:v>EAP Race/Gender</x:v>
      </x:c>
      <x:c r="B12" s="18" t="str">
        <x:v>Target Share</x:v>
      </x:c>
      <x:c r="C12" s="18" t="str">
        <x:v>Actual Headcount</x:v>
      </x:c>
      <x:c r="D12" s="18"/>
      <x:c r="E12" s="18"/>
    </x:row>
    <x:row r="13">
      <x:c r="A13" s="18" t="str">
        <x:v>African Male</x:v>
      </x:c>
      <x:c r="B13" s="18" t="n">
        <x:v>0.434</x:v>
      </x:c>
      <x:c r="C13" s="18" t="n">
        <x:v>10</x:v>
      </x:c>
      <x:c r="D13" s="18"/>
      <x:c r="E13" s="18"/>
    </x:row>
    <x:row r="14">
      <x:c r="A14" s="18" t="str">
        <x:v>Coloured Male</x:v>
      </x:c>
      <x:c r="B14" s="18" t="n">
        <x:v>0.049</x:v>
      </x:c>
      <x:c r="C14" s="18" t="n">
        <x:v>2</x:v>
      </x:c>
      <x:c r="D14" s="18"/>
      <x:c r="E14" s="18"/>
    </x:row>
    <x:row r="15">
      <x:c r="A15" s="18" t="str">
        <x:v>Indian Male</x:v>
      </x:c>
      <x:c r="B15" s="18" t="n">
        <x:v>0.017</x:v>
      </x:c>
      <x:c r="C15" s="18" t="n">
        <x:v>1</x:v>
      </x:c>
      <x:c r="D15" s="18"/>
      <x:c r="E15" s="18"/>
    </x:row>
    <x:row r="16">
      <x:c r="A16" s="18" t="str">
        <x:v>African Female</x:v>
      </x:c>
      <x:c r="B16" s="18" t="n">
        <x:v>0.366</x:v>
      </x:c>
      <x:c r="C16" s="18" t="n">
        <x:v>8</x:v>
      </x:c>
      <x:c r="D16" s="18"/>
      <x:c r="E16" s="18"/>
    </x:row>
    <x:row r="17">
      <x:c r="A17" s="18" t="str">
        <x:v>Coloured Female</x:v>
      </x:c>
      <x:c r="B17" s="18" t="n">
        <x:v>0.044</x:v>
      </x:c>
      <x:c r="C17" s="18" t="n">
        <x:v>2</x:v>
      </x:c>
      <x:c r="D17" s="18"/>
      <x:c r="E17" s="18"/>
    </x:row>
    <x:row r="18">
      <x:c r="A18" s="18" t="str">
        <x:v>Indian Female</x:v>
      </x:c>
      <x:c r="B18" s="18" t="n">
        <x:v>0.01</x:v>
      </x:c>
      <x:c r="C18" s="18" t="n">
        <x:v>1</x:v>
      </x:c>
      <x:c r="D18" s="18"/>
      <x:c r="E18" s="1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Skills Development</x:v>
      </x:c>
      <x:c r="B1" s="6"/>
      <x:c r="C1" s="6"/>
      <x:c r="D1" s="6"/>
      <x:c r="E1" s="6"/>
    </x:row>
    <x:row r="2" ht="32" customHeight="1">
      <x:c r="A2" s="14" t="str">
        <x:v>Measurement Category &amp; Criteria</x:v>
      </x:c>
      <x:c r="B2" s="14" t="str">
        <x:v>Target</x:v>
      </x:c>
      <x:c r="C2" s="14" t="str">
        <x:v>Available Points</x:v>
      </x:c>
      <x:c r="D2" s="14" t="str">
        <x:v>Achieved %</x:v>
      </x:c>
      <x:c r="E2" s="14" t="str">
        <x:v>Points Achieved</x:v>
      </x:c>
    </x:row>
    <x:row r="3">
      <x:c r="A3" s="18" t="str">
        <x:v>Training expenditure for black people</x:v>
      </x:c>
      <x:c r="B3" s="18" t="n">
        <x:v>0.06</x:v>
      </x:c>
      <x:c r="C3" s="18" t="n">
        <x:v>8</x:v>
      </x:c>
      <x:c r="D3" s="18" t="n">
        <x:v>0.055</x:v>
      </x:c>
      <x:c r="E3" s="18" t="n">
        <x:f>MIN(D3/B3,1)*C3</x:f>
        <x:v>7.333333333333334</x:v>
      </x:c>
    </x:row>
    <x:row r="4">
      <x:c r="A4" s="18" t="str">
        <x:v>Black people in learnerships/internships/apprenticeships</x:v>
      </x:c>
      <x:c r="B4" s="18" t="n">
        <x:v>0.025</x:v>
      </x:c>
      <x:c r="C4" s="18" t="n">
        <x:v>4</x:v>
      </x:c>
      <x:c r="D4" s="18" t="n">
        <x:v>0.028</x:v>
      </x:c>
      <x:c r="E4" s="18" t="n">
        <x:f>MIN(D4/B4,1)*C4</x:f>
        <x:v>4</x:v>
      </x:c>
    </x:row>
    <x:row r="5">
      <x:c r="A5" s="18" t="str">
        <x:v>Training for black people with disabilities</x:v>
      </x:c>
      <x:c r="B5" s="18" t="n">
        <x:v>0.003</x:v>
      </x:c>
      <x:c r="C5" s="18" t="n">
        <x:v>4</x:v>
      </x:c>
      <x:c r="D5" s="18" t="n">
        <x:v>0.004</x:v>
      </x:c>
      <x:c r="E5" s="18" t="n">
        <x:f>MIN(D5/B5,1)*C5</x:f>
        <x:v>4</x:v>
      </x:c>
    </x:row>
    <x:row r="6">
      <x:c r="A6" s="18" t="str">
        <x:v>Learnerships</x:v>
      </x:c>
      <x:c r="B6" s="18" t="n">
        <x:v>0.025</x:v>
      </x:c>
      <x:c r="C6" s="18" t="n">
        <x:v>4</x:v>
      </x:c>
      <x:c r="D6" s="18" t="n">
        <x:v>0.028</x:v>
      </x:c>
      <x:c r="E6" s="18" t="n">
        <x:f>MIN(D6/B6,1)*C6</x:f>
        <x:v>4</x:v>
      </x:c>
    </x:row>
    <x:row r="7">
      <x:c r="A7" s="18" t="str">
        <x:v>Bonus: Absorption of learners who completed programs</x:v>
      </x:c>
      <x:c r="B7" s="18" t="n">
        <x:v>1</x:v>
      </x:c>
      <x:c r="C7" s="18" t="n">
        <x:v>5</x:v>
      </x:c>
      <x:c r="D7" s="18" t="n">
        <x:v>0.8</x:v>
      </x:c>
      <x:c r="E7" s="18" t="n">
        <x:f>MIN(D7/B7,1)*C7</x:f>
        <x:v>4</x:v>
      </x:c>
    </x:row>
    <x:row r="8">
      <x:c r="A8" s="18" t="str">
        <x:v>Total</x:v>
      </x:c>
      <x:c r="B8" s="18" t="str"/>
      <x:c r="C8" s="18" t="n">
        <x:v>25</x:v>
      </x:c>
      <x:c r="D8" s="18" t="str"/>
      <x:c r="E8" s="18" t="n">
        <x:f>SUM(E3:E7)</x:f>
        <x:v>23.333333333333336</x:v>
      </x:c>
    </x:row>
    <x:row r="9">
      <x:c r="A9" s="18"/>
      <x:c r="B9" s="18"/>
      <x:c r="C9" s="18"/>
      <x:c r="D9" s="18"/>
      <x:c r="E9" s="18"/>
    </x:row>
    <x:row r="10">
      <x:c r="A10" s="18" t="str">
        <x:v>Calculation Block</x:v>
      </x:c>
      <x:c r="B10" s="18" t="str">
        <x:v>Input</x:v>
      </x:c>
      <x:c r="C10" s="18" t="str">
        <x:v>Value</x:v>
      </x:c>
      <x:c r="D10" s="18"/>
      <x:c r="E10" s="18"/>
    </x:row>
    <x:row r="11">
      <x:c r="A11" s="18" t="str">
        <x:v>Payroll Amount</x:v>
      </x:c>
      <x:c r="B11" s="18" t="str">
        <x:v>Leviable payroll</x:v>
      </x:c>
      <x:c r="C11" s="18" t="n">
        <x:v>2500000</x:v>
      </x:c>
      <x:c r="D11" s="18"/>
      <x:c r="E11" s="18"/>
    </x:row>
    <x:row r="12">
      <x:c r="A12" s="18" t="str">
        <x:v>Target Spend</x:v>
      </x:c>
      <x:c r="B12" s="18" t="str">
        <x:v>Payroll x target</x:v>
      </x:c>
      <x:c r="C12" s="18" t="n">
        <x:f>C11*6%</x:f>
        <x:v>150000</x:v>
      </x:c>
      <x:c r="D12" s="18"/>
      <x:c r="E12" s="18"/>
    </x:row>
    <x:row r="13">
      <x:c r="A13" s="18" t="str">
        <x:v>Actual Training Spend</x:v>
      </x:c>
      <x:c r="B13" s="18" t="str">
        <x:v>From training registers</x:v>
      </x:c>
      <x:c r="C13" s="18" t="n">
        <x:v>160000</x:v>
      </x:c>
      <x:c r="D13" s="18"/>
      <x:c r="E13" s="18"/>
    </x:row>
    <x:row r="14">
      <x:c r="A14" s="18" t="str">
        <x:v>Total Staff</x:v>
      </x:c>
      <x:c r="B14" s="18" t="str">
        <x:v>Headcount</x:v>
      </x:c>
      <x:c r="C14" s="18" t="n">
        <x:v>50</x:v>
      </x:c>
      <x:c r="D14" s="18"/>
      <x:c r="E14" s="18"/>
    </x:row>
    <x:row r="15">
      <x:c r="A15" s="18" t="str">
        <x:v>Completed Learners</x:v>
      </x:c>
      <x:c r="B15" s="18" t="str">
        <x:v>Absorbed</x:v>
      </x:c>
      <x:c r="C15" s="18" t="n">
        <x:v>4</x:v>
      </x:c>
      <x:c r="D15" s="18"/>
      <x:c r="E15" s="1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8" hidden="0" customWidth="1"/>
    <x:col min="6" max="6" width="22" hidden="0" customWidth="1"/>
    <x:col min="7" max="7" width="22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6" t="str">
        <x:v>Training Register - Cat A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</x:row>
    <x:row r="2" ht="32" customHeight="1">
      <x:c r="A2" s="14" t="str">
        <x:v>Delegate Name</x:v>
      </x:c>
      <x:c r="B2" s="14" t="str">
        <x:v>Surname</x:v>
      </x:c>
      <x:c r="C2" s="14" t="str">
        <x:v>Race</x:v>
      </x:c>
      <x:c r="D2" s="14" t="str">
        <x:v>Gender</x:v>
      </x:c>
      <x:c r="E2" s="14" t="str">
        <x:v>Disability (Yes/No)</x:v>
      </x:c>
      <x:c r="F2" s="14" t="str">
        <x:v>Training Provider</x:v>
      </x:c>
      <x:c r="G2" s="14" t="str">
        <x:v>Course Name</x:v>
      </x:c>
      <x:c r="H2" s="14" t="str">
        <x:v>Category (Learning Matrix)</x:v>
      </x:c>
      <x:c r="I2" s="14" t="str">
        <x:v>Direct Costs (Training)</x:v>
      </x:c>
      <x:c r="J2" s="14" t="str">
        <x:v>Indirect Cost (Salary)</x:v>
      </x:c>
      <x:c r="K2" s="14" t="str">
        <x:v>Priority (Yes/No)</x:v>
      </x:c>
      <x:c r="L2" s="14" t="str">
        <x:v>Internal/External</x:v>
      </x:c>
      <x:c r="M2" s="14" t="str">
        <x:v>Notes</x:v>
      </x:c>
      <x:c r="N2" s="14" t="str">
        <x:v>African Male</x:v>
      </x:c>
      <x:c r="O2" s="14" t="str">
        <x:v>Coloured Male</x:v>
      </x:c>
      <x:c r="P2" s="14" t="str">
        <x:v>Indian Male</x:v>
      </x:c>
      <x:c r="Q2" s="14" t="str">
        <x:v>African Female</x:v>
      </x:c>
      <x:c r="R2" s="14" t="str">
        <x:v>Coloured Female</x:v>
      </x:c>
      <x:c r="S2" s="14" t="str">
        <x:v>Indian Female</x:v>
      </x:c>
      <x:c r="T2" s="14" t="str">
        <x:v>BPWD</x:v>
      </x:c>
    </x:row>
    <x:row r="3">
      <x:c r="A3" s="18" t="str">
        <x:v>Edward</x:v>
      </x:c>
      <x:c r="B3" s="18" t="str">
        <x:v>Sample</x:v>
      </x:c>
      <x:c r="C3" s="18" t="str">
        <x:v>Coloured</x:v>
      </x:c>
      <x:c r="D3" s="18" t="str">
        <x:v>Male</x:v>
      </x:c>
      <x:c r="E3" s="18" t="str">
        <x:v>No</x:v>
      </x:c>
      <x:c r="F3" s="18" t="str">
        <x:v>Trainer Centre</x:v>
      </x:c>
      <x:c r="G3" s="18" t="str">
        <x:v>BCom</x:v>
      </x:c>
      <x:c r="H3" s="18" t="str">
        <x:v>A</x:v>
      </x:c>
      <x:c r="I3" s="18" t="n">
        <x:v>40000</x:v>
      </x:c>
      <x:c r="J3" s="18" t="n">
        <x:v>5000</x:v>
      </x:c>
      <x:c r="K3" s="18" t="str">
        <x:v>No</x:v>
      </x:c>
      <x:c r="L3" s="18" t="str">
        <x:v>External</x:v>
      </x:c>
      <x:c r="M3" s="18" t="str"/>
      <x:c r="N3" s="18" t="n">
        <x:v>0</x:v>
      </x:c>
      <x:c r="O3" s="18" t="n">
        <x:v>1</x:v>
      </x:c>
      <x:c r="P3" s="18" t="n">
        <x:v>0</x:v>
      </x:c>
      <x:c r="Q3" s="18" t="n">
        <x:v>0</x:v>
      </x:c>
      <x:c r="R3" s="18" t="n">
        <x:v>0</x:v>
      </x:c>
      <x:c r="S3" s="18" t="n">
        <x:v>0</x:v>
      </x:c>
      <x:c r="T3" s="18" t="n">
        <x:v>0</x:v>
      </x:c>
    </x:row>
    <x:row r="4">
      <x:c r="A4" s="18" t="str">
        <x:v>Lerato</x:v>
      </x:c>
      <x:c r="B4" s="18" t="str">
        <x:v>Maseko</x:v>
      </x:c>
      <x:c r="C4" s="18" t="str">
        <x:v>African</x:v>
      </x:c>
      <x:c r="D4" s="18" t="str">
        <x:v>Female</x:v>
      </x:c>
      <x:c r="E4" s="18" t="str">
        <x:v>No</x:v>
      </x:c>
      <x:c r="F4" s="18" t="str">
        <x:v>Skills Hub</x:v>
      </x:c>
      <x:c r="G4" s="18" t="str">
        <x:v>Leadership</x:v>
      </x:c>
      <x:c r="H4" s="18" t="str">
        <x:v>A</x:v>
      </x:c>
      <x:c r="I4" s="18" t="n">
        <x:v>35000</x:v>
      </x:c>
      <x:c r="J4" s="18" t="n">
        <x:v>6000</x:v>
      </x:c>
      <x:c r="K4" s="18" t="str">
        <x:v>Yes</x:v>
      </x:c>
      <x:c r="L4" s="18" t="str">
        <x:v>External</x:v>
      </x:c>
      <x:c r="M4" s="18" t="str"/>
      <x:c r="N4" s="18" t="n">
        <x:v>0</x:v>
      </x:c>
      <x:c r="O4" s="18" t="n">
        <x:v>0</x:v>
      </x:c>
      <x:c r="P4" s="18" t="n">
        <x:v>0</x:v>
      </x:c>
      <x:c r="Q4" s="18" t="n">
        <x:v>1</x:v>
      </x:c>
      <x:c r="R4" s="18" t="n">
        <x:v>0</x:v>
      </x:c>
      <x:c r="S4" s="18" t="n">
        <x:v>0</x:v>
      </x:c>
      <x:c r="T4" s="18" t="n">
        <x:v>0</x:v>
      </x:c>
    </x:row>
    <x:row r="5">
      <x:c r="A5" s="18" t="str">
        <x:v>Sipho</x:v>
      </x:c>
      <x:c r="B5" s="18" t="str">
        <x:v>Dlamini</x:v>
      </x:c>
      <x:c r="C5" s="18" t="str">
        <x:v>African</x:v>
      </x:c>
      <x:c r="D5" s="18" t="str">
        <x:v>Male</x:v>
      </x:c>
      <x:c r="E5" s="18" t="str">
        <x:v>Yes</x:v>
      </x:c>
      <x:c r="F5" s="18" t="str">
        <x:v>Internal Academy</x:v>
      </x:c>
      <x:c r="G5" s="18" t="str">
        <x:v>Technical</x:v>
      </x:c>
      <x:c r="H5" s="18" t="str">
        <x:v>A</x:v>
      </x:c>
      <x:c r="I5" s="18" t="n">
        <x:v>25000</x:v>
      </x:c>
      <x:c r="J5" s="18" t="n">
        <x:v>3000</x:v>
      </x:c>
      <x:c r="K5" s="18" t="str">
        <x:v>Yes</x:v>
      </x:c>
      <x:c r="L5" s="18" t="str">
        <x:v>Internal</x:v>
      </x:c>
      <x:c r="M5" s="18" t="str"/>
      <x:c r="N5" s="18" t="n">
        <x:v>1</x:v>
      </x:c>
      <x:c r="O5" s="18" t="n">
        <x:v>0</x:v>
      </x:c>
      <x:c r="P5" s="18" t="n">
        <x:v>0</x:v>
      </x:c>
      <x:c r="Q5" s="18" t="n">
        <x:v>0</x:v>
      </x:c>
      <x:c r="R5" s="18" t="n">
        <x:v>0</x:v>
      </x:c>
      <x:c r="S5" s="18" t="n">
        <x:v>0</x:v>
      </x:c>
      <x:c r="T5" s="18" t="n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8" hidden="0" customWidth="1"/>
    <x:col min="6" max="6" width="22" hidden="0" customWidth="1"/>
    <x:col min="7" max="7" width="22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6" t="str">
        <x:v>Training Register - Interns &amp; Learners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</x:row>
    <x:row r="2" ht="32" customHeight="1">
      <x:c r="A2" s="14" t="str">
        <x:v>Delegate Name</x:v>
      </x:c>
      <x:c r="B2" s="14" t="str">
        <x:v>Surname</x:v>
      </x:c>
      <x:c r="C2" s="14" t="str">
        <x:v>Race</x:v>
      </x:c>
      <x:c r="D2" s="14" t="str">
        <x:v>Gender</x:v>
      </x:c>
      <x:c r="E2" s="14" t="str">
        <x:v>Disability (Yes/No)</x:v>
      </x:c>
      <x:c r="F2" s="14" t="str">
        <x:v>Training Provider</x:v>
      </x:c>
      <x:c r="G2" s="14" t="str">
        <x:v>Course Name</x:v>
      </x:c>
      <x:c r="H2" s="14" t="str">
        <x:v>Category (Learning Matrix)</x:v>
      </x:c>
      <x:c r="I2" s="14" t="str">
        <x:v>Direct Costs (Training)</x:v>
      </x:c>
      <x:c r="J2" s="14" t="str">
        <x:v>Indirect Cost (Salary)</x:v>
      </x:c>
      <x:c r="K2" s="14" t="str">
        <x:v>Priority (Yes/No)</x:v>
      </x:c>
      <x:c r="L2" s="14" t="str">
        <x:v>Internal/External</x:v>
      </x:c>
      <x:c r="M2" s="14" t="str">
        <x:v>Notes</x:v>
      </x:c>
      <x:c r="N2" s="14" t="str">
        <x:v>African Male</x:v>
      </x:c>
      <x:c r="O2" s="14" t="str">
        <x:v>Coloured Male</x:v>
      </x:c>
      <x:c r="P2" s="14" t="str">
        <x:v>Indian Male</x:v>
      </x:c>
      <x:c r="Q2" s="14" t="str">
        <x:v>African Female</x:v>
      </x:c>
      <x:c r="R2" s="14" t="str">
        <x:v>Coloured Female</x:v>
      </x:c>
      <x:c r="S2" s="14" t="str">
        <x:v>Indian Female</x:v>
      </x:c>
      <x:c r="T2" s="14" t="str">
        <x:v>BPWD</x:v>
      </x:c>
    </x:row>
    <x:row r="3">
      <x:c r="A3" s="18" t="str">
        <x:v>Edward</x:v>
      </x:c>
      <x:c r="B3" s="18" t="str">
        <x:v>Sample</x:v>
      </x:c>
      <x:c r="C3" s="18" t="str">
        <x:v>Coloured</x:v>
      </x:c>
      <x:c r="D3" s="18" t="str">
        <x:v>Male</x:v>
      </x:c>
      <x:c r="E3" s="18" t="str">
        <x:v>No</x:v>
      </x:c>
      <x:c r="F3" s="18" t="str">
        <x:v>Trainer Centre</x:v>
      </x:c>
      <x:c r="G3" s="18" t="str">
        <x:v>BCom</x:v>
      </x:c>
      <x:c r="H3" s="18" t="str">
        <x:v>Internship</x:v>
      </x:c>
      <x:c r="I3" s="18" t="n">
        <x:v>40000</x:v>
      </x:c>
      <x:c r="J3" s="18" t="n">
        <x:v>5000</x:v>
      </x:c>
      <x:c r="K3" s="18" t="str">
        <x:v>No</x:v>
      </x:c>
      <x:c r="L3" s="18" t="str">
        <x:v>External</x:v>
      </x:c>
      <x:c r="M3" s="18" t="str"/>
      <x:c r="N3" s="18" t="n">
        <x:v>0</x:v>
      </x:c>
      <x:c r="O3" s="18" t="n">
        <x:v>1</x:v>
      </x:c>
      <x:c r="P3" s="18" t="n">
        <x:v>0</x:v>
      </x:c>
      <x:c r="Q3" s="18" t="n">
        <x:v>0</x:v>
      </x:c>
      <x:c r="R3" s="18" t="n">
        <x:v>0</x:v>
      </x:c>
      <x:c r="S3" s="18" t="n">
        <x:v>0</x:v>
      </x:c>
      <x:c r="T3" s="18" t="n">
        <x:v>0</x:v>
      </x:c>
    </x:row>
    <x:row r="4">
      <x:c r="A4" s="18" t="str">
        <x:v>Lerato</x:v>
      </x:c>
      <x:c r="B4" s="18" t="str">
        <x:v>Maseko</x:v>
      </x:c>
      <x:c r="C4" s="18" t="str">
        <x:v>African</x:v>
      </x:c>
      <x:c r="D4" s="18" t="str">
        <x:v>Female</x:v>
      </x:c>
      <x:c r="E4" s="18" t="str">
        <x:v>No</x:v>
      </x:c>
      <x:c r="F4" s="18" t="str">
        <x:v>Skills Hub</x:v>
      </x:c>
      <x:c r="G4" s="18" t="str">
        <x:v>Leadership</x:v>
      </x:c>
      <x:c r="H4" s="18" t="str">
        <x:v>Internship</x:v>
      </x:c>
      <x:c r="I4" s="18" t="n">
        <x:v>35000</x:v>
      </x:c>
      <x:c r="J4" s="18" t="n">
        <x:v>6000</x:v>
      </x:c>
      <x:c r="K4" s="18" t="str">
        <x:v>Yes</x:v>
      </x:c>
      <x:c r="L4" s="18" t="str">
        <x:v>External</x:v>
      </x:c>
      <x:c r="M4" s="18" t="str"/>
      <x:c r="N4" s="18" t="n">
        <x:v>0</x:v>
      </x:c>
      <x:c r="O4" s="18" t="n">
        <x:v>0</x:v>
      </x:c>
      <x:c r="P4" s="18" t="n">
        <x:v>0</x:v>
      </x:c>
      <x:c r="Q4" s="18" t="n">
        <x:v>1</x:v>
      </x:c>
      <x:c r="R4" s="18" t="n">
        <x:v>0</x:v>
      </x:c>
      <x:c r="S4" s="18" t="n">
        <x:v>0</x:v>
      </x:c>
      <x:c r="T4" s="18" t="n">
        <x:v>0</x:v>
      </x:c>
    </x:row>
    <x:row r="5">
      <x:c r="A5" s="18" t="str">
        <x:v>Sipho</x:v>
      </x:c>
      <x:c r="B5" s="18" t="str">
        <x:v>Dlamini</x:v>
      </x:c>
      <x:c r="C5" s="18" t="str">
        <x:v>African</x:v>
      </x:c>
      <x:c r="D5" s="18" t="str">
        <x:v>Male</x:v>
      </x:c>
      <x:c r="E5" s="18" t="str">
        <x:v>Yes</x:v>
      </x:c>
      <x:c r="F5" s="18" t="str">
        <x:v>Internal Academy</x:v>
      </x:c>
      <x:c r="G5" s="18" t="str">
        <x:v>Technical</x:v>
      </x:c>
      <x:c r="H5" s="18" t="str">
        <x:v>Internship</x:v>
      </x:c>
      <x:c r="I5" s="18" t="n">
        <x:v>25000</x:v>
      </x:c>
      <x:c r="J5" s="18" t="n">
        <x:v>3000</x:v>
      </x:c>
      <x:c r="K5" s="18" t="str">
        <x:v>Yes</x:v>
      </x:c>
      <x:c r="L5" s="18" t="str">
        <x:v>Internal</x:v>
      </x:c>
      <x:c r="M5" s="18" t="str"/>
      <x:c r="N5" s="18" t="n">
        <x:v>1</x:v>
      </x:c>
      <x:c r="O5" s="18" t="n">
        <x:v>0</x:v>
      </x:c>
      <x:c r="P5" s="18" t="n">
        <x:v>0</x:v>
      </x:c>
      <x:c r="Q5" s="18" t="n">
        <x:v>0</x:v>
      </x:c>
      <x:c r="R5" s="18" t="n">
        <x:v>0</x:v>
      </x:c>
      <x:c r="S5" s="18" t="n">
        <x:v>0</x:v>
      </x:c>
      <x:c r="T5" s="18" t="n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8" hidden="0" customWidth="1"/>
    <x:col min="6" max="6" width="22" hidden="0" customWidth="1"/>
    <x:col min="7" max="7" width="22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6" t="str">
        <x:v>Training Register - Cat G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</x:row>
    <x:row r="2" ht="32" customHeight="1">
      <x:c r="A2" s="14" t="str">
        <x:v>Delegate Name</x:v>
      </x:c>
      <x:c r="B2" s="14" t="str">
        <x:v>Surname</x:v>
      </x:c>
      <x:c r="C2" s="14" t="str">
        <x:v>Race</x:v>
      </x:c>
      <x:c r="D2" s="14" t="str">
        <x:v>Gender</x:v>
      </x:c>
      <x:c r="E2" s="14" t="str">
        <x:v>Disability (Yes/No)</x:v>
      </x:c>
      <x:c r="F2" s="14" t="str">
        <x:v>Training Provider</x:v>
      </x:c>
      <x:c r="G2" s="14" t="str">
        <x:v>Course Name</x:v>
      </x:c>
      <x:c r="H2" s="14" t="str">
        <x:v>Category (Learning Matrix)</x:v>
      </x:c>
      <x:c r="I2" s="14" t="str">
        <x:v>Direct Costs (Training)</x:v>
      </x:c>
      <x:c r="J2" s="14" t="str">
        <x:v>Indirect Cost (Salary)</x:v>
      </x:c>
      <x:c r="K2" s="14" t="str">
        <x:v>Priority (Yes/No)</x:v>
      </x:c>
      <x:c r="L2" s="14" t="str">
        <x:v>Internal/External</x:v>
      </x:c>
      <x:c r="M2" s="14" t="str">
        <x:v>Notes</x:v>
      </x:c>
      <x:c r="N2" s="14" t="str">
        <x:v>African Male</x:v>
      </x:c>
      <x:c r="O2" s="14" t="str">
        <x:v>Coloured Male</x:v>
      </x:c>
      <x:c r="P2" s="14" t="str">
        <x:v>Indian Male</x:v>
      </x:c>
      <x:c r="Q2" s="14" t="str">
        <x:v>African Female</x:v>
      </x:c>
      <x:c r="R2" s="14" t="str">
        <x:v>Coloured Female</x:v>
      </x:c>
      <x:c r="S2" s="14" t="str">
        <x:v>Indian Female</x:v>
      </x:c>
      <x:c r="T2" s="14" t="str">
        <x:v>BPWD</x:v>
      </x:c>
    </x:row>
    <x:row r="3">
      <x:c r="A3" s="18" t="str">
        <x:v>Edward</x:v>
      </x:c>
      <x:c r="B3" s="18" t="str">
        <x:v>Sample</x:v>
      </x:c>
      <x:c r="C3" s="18" t="str">
        <x:v>Coloured</x:v>
      </x:c>
      <x:c r="D3" s="18" t="str">
        <x:v>Male</x:v>
      </x:c>
      <x:c r="E3" s="18" t="str">
        <x:v>No</x:v>
      </x:c>
      <x:c r="F3" s="18" t="str">
        <x:v>Trainer Centre</x:v>
      </x:c>
      <x:c r="G3" s="18" t="str">
        <x:v>BCom</x:v>
      </x:c>
      <x:c r="H3" s="18" t="str">
        <x:v>G</x:v>
      </x:c>
      <x:c r="I3" s="18" t="n">
        <x:v>40000</x:v>
      </x:c>
      <x:c r="J3" s="18" t="n">
        <x:v>5000</x:v>
      </x:c>
      <x:c r="K3" s="18" t="str">
        <x:v>No</x:v>
      </x:c>
      <x:c r="L3" s="18" t="str">
        <x:v>External</x:v>
      </x:c>
      <x:c r="M3" s="18" t="str"/>
      <x:c r="N3" s="18" t="n">
        <x:v>0</x:v>
      </x:c>
      <x:c r="O3" s="18" t="n">
        <x:v>1</x:v>
      </x:c>
      <x:c r="P3" s="18" t="n">
        <x:v>0</x:v>
      </x:c>
      <x:c r="Q3" s="18" t="n">
        <x:v>0</x:v>
      </x:c>
      <x:c r="R3" s="18" t="n">
        <x:v>0</x:v>
      </x:c>
      <x:c r="S3" s="18" t="n">
        <x:v>0</x:v>
      </x:c>
      <x:c r="T3" s="18" t="n">
        <x:v>0</x:v>
      </x:c>
    </x:row>
    <x:row r="4">
      <x:c r="A4" s="18" t="str">
        <x:v>Lerato</x:v>
      </x:c>
      <x:c r="B4" s="18" t="str">
        <x:v>Maseko</x:v>
      </x:c>
      <x:c r="C4" s="18" t="str">
        <x:v>African</x:v>
      </x:c>
      <x:c r="D4" s="18" t="str">
        <x:v>Female</x:v>
      </x:c>
      <x:c r="E4" s="18" t="str">
        <x:v>No</x:v>
      </x:c>
      <x:c r="F4" s="18" t="str">
        <x:v>Skills Hub</x:v>
      </x:c>
      <x:c r="G4" s="18" t="str">
        <x:v>Leadership</x:v>
      </x:c>
      <x:c r="H4" s="18" t="str">
        <x:v>G</x:v>
      </x:c>
      <x:c r="I4" s="18" t="n">
        <x:v>35000</x:v>
      </x:c>
      <x:c r="J4" s="18" t="n">
        <x:v>6000</x:v>
      </x:c>
      <x:c r="K4" s="18" t="str">
        <x:v>Yes</x:v>
      </x:c>
      <x:c r="L4" s="18" t="str">
        <x:v>External</x:v>
      </x:c>
      <x:c r="M4" s="18" t="str"/>
      <x:c r="N4" s="18" t="n">
        <x:v>0</x:v>
      </x:c>
      <x:c r="O4" s="18" t="n">
        <x:v>0</x:v>
      </x:c>
      <x:c r="P4" s="18" t="n">
        <x:v>0</x:v>
      </x:c>
      <x:c r="Q4" s="18" t="n">
        <x:v>1</x:v>
      </x:c>
      <x:c r="R4" s="18" t="n">
        <x:v>0</x:v>
      </x:c>
      <x:c r="S4" s="18" t="n">
        <x:v>0</x:v>
      </x:c>
      <x:c r="T4" s="18" t="n">
        <x:v>0</x:v>
      </x:c>
    </x:row>
    <x:row r="5">
      <x:c r="A5" s="18" t="str">
        <x:v>Sipho</x:v>
      </x:c>
      <x:c r="B5" s="18" t="str">
        <x:v>Dlamini</x:v>
      </x:c>
      <x:c r="C5" s="18" t="str">
        <x:v>African</x:v>
      </x:c>
      <x:c r="D5" s="18" t="str">
        <x:v>Male</x:v>
      </x:c>
      <x:c r="E5" s="18" t="str">
        <x:v>Yes</x:v>
      </x:c>
      <x:c r="F5" s="18" t="str">
        <x:v>Internal Academy</x:v>
      </x:c>
      <x:c r="G5" s="18" t="str">
        <x:v>Technical</x:v>
      </x:c>
      <x:c r="H5" s="18" t="str">
        <x:v>G</x:v>
      </x:c>
      <x:c r="I5" s="18" t="n">
        <x:v>25000</x:v>
      </x:c>
      <x:c r="J5" s="18" t="n">
        <x:v>3000</x:v>
      </x:c>
      <x:c r="K5" s="18" t="str">
        <x:v>Yes</x:v>
      </x:c>
      <x:c r="L5" s="18" t="str">
        <x:v>Internal</x:v>
      </x:c>
      <x:c r="M5" s="18" t="str"/>
      <x:c r="N5" s="18" t="n">
        <x:v>1</x:v>
      </x:c>
      <x:c r="O5" s="18" t="n">
        <x:v>0</x:v>
      </x:c>
      <x:c r="P5" s="18" t="n">
        <x:v>0</x:v>
      </x:c>
      <x:c r="Q5" s="18" t="n">
        <x:v>0</x:v>
      </x:c>
      <x:c r="R5" s="18" t="n">
        <x:v>0</x:v>
      </x:c>
      <x:c r="S5" s="18" t="n">
        <x:v>0</x:v>
      </x:c>
      <x:c r="T5" s="18" t="n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</x:cols>
  <x:sheetData>
    <x:row r="1">
      <x:c r="A1" s="6" t="str">
        <x:v>Learner Summary</x:v>
      </x:c>
      <x:c r="B1" s="6"/>
    </x:row>
    <x:row r="2" ht="32" customHeight="1">
      <x:c r="A2" s="14" t="str">
        <x:v>Category</x:v>
      </x:c>
      <x:c r="B2" s="14" t="str">
        <x:v>Count</x:v>
      </x:c>
    </x:row>
    <x:row r="3">
      <x:c r="A3" s="18" t="str">
        <x:v>Black % AM</x:v>
      </x:c>
      <x:c r="B3" s="18" t="n">
        <x:v>2</x:v>
      </x:c>
    </x:row>
    <x:row r="4">
      <x:c r="A4" s="18" t="str">
        <x:v>Black % AF</x:v>
      </x:c>
      <x:c r="B4" s="18" t="n">
        <x:v>2</x:v>
      </x:c>
    </x:row>
    <x:row r="5">
      <x:c r="A5" s="18" t="str">
        <x:v>Black % CM</x:v>
      </x:c>
      <x:c r="B5" s="18" t="n">
        <x:v>1</x:v>
      </x:c>
    </x:row>
    <x:row r="6">
      <x:c r="A6" s="18" t="str">
        <x:v>Black % CF</x:v>
      </x:c>
      <x:c r="B6" s="18" t="n">
        <x:v>1</x:v>
      </x:c>
    </x:row>
    <x:row r="7">
      <x:c r="A7" s="18" t="str">
        <x:v>Black % IM</x:v>
      </x:c>
      <x:c r="B7" s="18" t="n">
        <x:v>1</x:v>
      </x:c>
    </x:row>
    <x:row r="8">
      <x:c r="A8" s="18" t="str">
        <x:v>Black % IF</x:v>
      </x:c>
      <x:c r="B8" s="18" t="n">
        <x:v>1</x:v>
      </x:c>
    </x:row>
    <x:row r="9">
      <x:c r="A9" s="18" t="str">
        <x:v>Other Race Groups (M+F)</x:v>
      </x:c>
      <x:c r="B9" s="18" t="n">
        <x:v>1</x:v>
      </x:c>
    </x:row>
    <x:row r="10">
      <x:c r="A10" s="18" t="str">
        <x:v>Total Employees</x:v>
      </x:c>
      <x:c r="B10" s="18" t="n">
        <x:v>50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EMP201 Payroll Tax</x:v>
      </x:c>
      <x:c r="B1" s="6"/>
      <x:c r="C1" s="6"/>
      <x:c r="D1" s="6"/>
      <x:c r="E1" s="6"/>
    </x:row>
    <x:row r="2" ht="32" customHeight="1">
      <x:c r="A2" s="14" t="str">
        <x:v>Month</x:v>
      </x:c>
      <x:c r="B2" s="14" t="str">
        <x:v>PAYE</x:v>
      </x:c>
      <x:c r="C2" s="14" t="str">
        <x:v>SDL</x:v>
      </x:c>
      <x:c r="D2" s="14" t="str">
        <x:v>UIF</x:v>
      </x:c>
      <x:c r="E2" s="14" t="str">
        <x:v>Total</x:v>
      </x:c>
    </x:row>
    <x:row r="3">
      <x:c r="A3" s="18" t="str">
        <x:v>Mar</x:v>
      </x:c>
      <x:c r="B3" s="18" t="n">
        <x:v>10000</x:v>
      </x:c>
      <x:c r="C3" s="18" t="n">
        <x:v>2500</x:v>
      </x:c>
      <x:c r="D3" s="18" t="n">
        <x:v>800</x:v>
      </x:c>
      <x:c r="E3" s="18" t="n">
        <x:f>SUM(B3:D3)</x:f>
        <x:v>13300</x:v>
      </x:c>
    </x:row>
    <x:row r="4">
      <x:c r="A4" s="18" t="str">
        <x:v>Apr</x:v>
      </x:c>
      <x:c r="B4" s="18" t="n">
        <x:v>11000</x:v>
      </x:c>
      <x:c r="C4" s="18" t="n">
        <x:v>2600</x:v>
      </x:c>
      <x:c r="D4" s="18" t="n">
        <x:v>850</x:v>
      </x:c>
      <x:c r="E4" s="18" t="n">
        <x:f>SUM(B4:D4)</x:f>
        <x:v>14450</x:v>
      </x:c>
    </x:row>
    <x:row r="5">
      <x:c r="A5" s="18" t="str">
        <x:v>May</x:v>
      </x:c>
      <x:c r="B5" s="18" t="n">
        <x:v>11500</x:v>
      </x:c>
      <x:c r="C5" s="18" t="n">
        <x:v>2700</x:v>
      </x:c>
      <x:c r="D5" s="18" t="n">
        <x:v>900</x:v>
      </x:c>
      <x:c r="E5" s="18" t="n">
        <x:f>SUM(B5:D5)</x:f>
        <x:v>15100</x:v>
      </x:c>
    </x:row>
    <x:row r="6">
      <x:c r="A6" s="18" t="str">
        <x:v>Jun</x:v>
      </x:c>
      <x:c r="B6" s="18" t="n">
        <x:v>12000</x:v>
      </x:c>
      <x:c r="C6" s="18" t="n">
        <x:v>2800</x:v>
      </x:c>
      <x:c r="D6" s="18" t="n">
        <x:v>950</x:v>
      </x:c>
      <x:c r="E6" s="18" t="n">
        <x:f>SUM(B6:D6)</x:f>
        <x:v>15750</x:v>
      </x:c>
    </x:row>
    <x:row r="7">
      <x:c r="A7" s="18" t="str">
        <x:v>Jul</x:v>
      </x:c>
      <x:c r="B7" s="18" t="n">
        <x:v>12500</x:v>
      </x:c>
      <x:c r="C7" s="18" t="n">
        <x:v>2900</x:v>
      </x:c>
      <x:c r="D7" s="18" t="n">
        <x:v>1000</x:v>
      </x:c>
      <x:c r="E7" s="18" t="n">
        <x:f>SUM(B7:D7)</x:f>
        <x:v>16400</x:v>
      </x:c>
    </x:row>
    <x:row r="8">
      <x:c r="A8" s="18" t="str">
        <x:v>Aug</x:v>
      </x:c>
      <x:c r="B8" s="18" t="n">
        <x:v>13000</x:v>
      </x:c>
      <x:c r="C8" s="18" t="n">
        <x:v>3000</x:v>
      </x:c>
      <x:c r="D8" s="18" t="n">
        <x:v>1050</x:v>
      </x:c>
      <x:c r="E8" s="18" t="n">
        <x:f>SUM(B8:D8)</x:f>
        <x:v>17050</x:v>
      </x:c>
    </x:row>
    <x:row r="9">
      <x:c r="A9" s="18" t="str">
        <x:v>Sep</x:v>
      </x:c>
      <x:c r="B9" s="18" t="n">
        <x:v>13500</x:v>
      </x:c>
      <x:c r="C9" s="18" t="n">
        <x:v>3100</x:v>
      </x:c>
      <x:c r="D9" s="18" t="n">
        <x:v>1100</x:v>
      </x:c>
      <x:c r="E9" s="18" t="n">
        <x:f>SUM(B9:D9)</x:f>
        <x:v>17700</x:v>
      </x:c>
    </x:row>
    <x:row r="10">
      <x:c r="A10" s="18" t="str">
        <x:v>Oct</x:v>
      </x:c>
      <x:c r="B10" s="18" t="n">
        <x:v>14000</x:v>
      </x:c>
      <x:c r="C10" s="18" t="n">
        <x:v>3200</x:v>
      </x:c>
      <x:c r="D10" s="18" t="n">
        <x:v>1150</x:v>
      </x:c>
      <x:c r="E10" s="18" t="n">
        <x:f>SUM(B10:D10)</x:f>
        <x:v>18350</x:v>
      </x:c>
    </x:row>
    <x:row r="11">
      <x:c r="A11" s="18" t="str">
        <x:v>Nov</x:v>
      </x:c>
      <x:c r="B11" s="18" t="n">
        <x:v>14500</x:v>
      </x:c>
      <x:c r="C11" s="18" t="n">
        <x:v>3300</x:v>
      </x:c>
      <x:c r="D11" s="18" t="n">
        <x:v>1200</x:v>
      </x:c>
      <x:c r="E11" s="18" t="n">
        <x:f>SUM(B11:D11)</x:f>
        <x:v>19000</x:v>
      </x:c>
    </x:row>
    <x:row r="12">
      <x:c r="A12" s="18" t="str">
        <x:v>Dec</x:v>
      </x:c>
      <x:c r="B12" s="18" t="n">
        <x:v>15000</x:v>
      </x:c>
      <x:c r="C12" s="18" t="n">
        <x:v>3400</x:v>
      </x:c>
      <x:c r="D12" s="18" t="n">
        <x:v>1250</x:v>
      </x:c>
      <x:c r="E12" s="18" t="n">
        <x:f>SUM(B12:D12)</x:f>
        <x:v>19650</x:v>
      </x:c>
    </x:row>
    <x:row r="13">
      <x:c r="A13" s="18" t="str">
        <x:v>Jan</x:v>
      </x:c>
      <x:c r="B13" s="18" t="n">
        <x:v>15500</x:v>
      </x:c>
      <x:c r="C13" s="18" t="n">
        <x:v>3500</x:v>
      </x:c>
      <x:c r="D13" s="18" t="n">
        <x:v>1300</x:v>
      </x:c>
      <x:c r="E13" s="18" t="n">
        <x:f>SUM(B13:D13)</x:f>
        <x:v>20300</x:v>
      </x:c>
    </x:row>
    <x:row r="14">
      <x:c r="A14" s="18" t="str">
        <x:v>Feb</x:v>
      </x:c>
      <x:c r="B14" s="18" t="n">
        <x:v>16000</x:v>
      </x:c>
      <x:c r="C14" s="18" t="n">
        <x:v>3600</x:v>
      </x:c>
      <x:c r="D14" s="18" t="n">
        <x:v>1350</x:v>
      </x:c>
      <x:c r="E14" s="18" t="n">
        <x:f>SUM(B14:D14)</x:f>
        <x:v>20950</x:v>
      </x:c>
    </x:row>
    <x:row r="15">
      <x:c r="A15" s="18" t="str">
        <x:v>Total</x:v>
      </x:c>
      <x:c r="B15" s="18" t="n">
        <x:f>SUM(B3:B14)</x:f>
        <x:v>158500</x:v>
      </x:c>
      <x:c r="C15" s="18" t="n">
        <x:f>SUM(C3:C14)</x:f>
        <x:v>36600</x:v>
      </x:c>
      <x:c r="D15" s="18" t="n">
        <x:f>SUM(D3:D14)</x:f>
        <x:v>12900</x:v>
      </x:c>
      <x:c r="E15" s="18" t="n">
        <x:f>SUM(E3:E14)</x:f>
        <x:v>208000</x:v>
      </x:c>
    </x:row>
    <x:row r="16">
      <x:c r="A16" s="18" t="str">
        <x:v>Leviable Amount</x:v>
      </x:c>
      <x:c r="B16" s="18" t="n">
        <x:v>2500000</x:v>
      </x:c>
      <x:c r="C16" s="18" t="str"/>
      <x:c r="D16" s="18" t="str"/>
      <x:c r="E16" s="18" t="str"/>
    </x:row>
    <x:row r="17">
      <x:c r="A17" s="18"/>
      <x:c r="B17" s="18"/>
      <x:c r="C17" s="18"/>
      <x:c r="D17" s="18"/>
      <x:c r="E17" s="18"/>
    </x:row>
    <x:row r="18">
      <x:c r="A18" s="18" t="str">
        <x:v>Month</x:v>
      </x:c>
      <x:c r="B18" s="18" t="str">
        <x:v>SDL only</x:v>
      </x:c>
      <x:c r="C18" s="18"/>
      <x:c r="D18" s="18"/>
      <x:c r="E18" s="18"/>
    </x:row>
    <x:row r="19">
      <x:c r="A19" s="18" t="str">
        <x:v>Mar</x:v>
      </x:c>
      <x:c r="B19" s="18" t="n">
        <x:v>2500</x:v>
      </x:c>
      <x:c r="C19" s="18"/>
      <x:c r="D19" s="18"/>
      <x:c r="E19" s="18"/>
    </x:row>
    <x:row r="20">
      <x:c r="A20" s="18" t="str">
        <x:v>Apr</x:v>
      </x:c>
      <x:c r="B20" s="18" t="n">
        <x:v>2600</x:v>
      </x:c>
      <x:c r="C20" s="18"/>
      <x:c r="D20" s="18"/>
      <x:c r="E20" s="18"/>
    </x:row>
    <x:row r="21">
      <x:c r="A21" s="18" t="str">
        <x:v>May</x:v>
      </x:c>
      <x:c r="B21" s="18" t="n">
        <x:v>2700</x:v>
      </x:c>
      <x:c r="C21" s="18"/>
      <x:c r="D21" s="18"/>
      <x:c r="E21" s="18"/>
    </x:row>
    <x:row r="22">
      <x:c r="A22" s="18" t="str">
        <x:v>Jun</x:v>
      </x:c>
      <x:c r="B22" s="18" t="n">
        <x:v>2800</x:v>
      </x:c>
      <x:c r="C22" s="18"/>
      <x:c r="D22" s="18"/>
      <x:c r="E22" s="18"/>
    </x:row>
    <x:row r="23">
      <x:c r="A23" s="18" t="str">
        <x:v>Jul</x:v>
      </x:c>
      <x:c r="B23" s="18" t="n">
        <x:v>2900</x:v>
      </x:c>
      <x:c r="C23" s="18"/>
      <x:c r="D23" s="18"/>
      <x:c r="E23" s="18"/>
    </x:row>
    <x:row r="24">
      <x:c r="A24" s="18" t="str">
        <x:v>Aug</x:v>
      </x:c>
      <x:c r="B24" s="18" t="n">
        <x:v>3000</x:v>
      </x:c>
      <x:c r="C24" s="18"/>
      <x:c r="D24" s="18"/>
      <x:c r="E24" s="18"/>
    </x:row>
    <x:row r="25">
      <x:c r="A25" s="18" t="str">
        <x:v>Sep</x:v>
      </x:c>
      <x:c r="B25" s="18" t="n">
        <x:v>3100</x:v>
      </x:c>
      <x:c r="C25" s="18"/>
      <x:c r="D25" s="18"/>
      <x:c r="E25" s="18"/>
    </x:row>
    <x:row r="26">
      <x:c r="A26" s="18" t="str">
        <x:v>Oct</x:v>
      </x:c>
      <x:c r="B26" s="18" t="n">
        <x:v>3200</x:v>
      </x:c>
      <x:c r="C26" s="18"/>
      <x:c r="D26" s="18"/>
      <x:c r="E26" s="18"/>
    </x:row>
    <x:row r="27">
      <x:c r="A27" s="18" t="str">
        <x:v>Nov</x:v>
      </x:c>
      <x:c r="B27" s="18" t="n">
        <x:v>3300</x:v>
      </x:c>
      <x:c r="C27" s="18"/>
      <x:c r="D27" s="18"/>
      <x:c r="E27" s="18"/>
    </x:row>
    <x:row r="28">
      <x:c r="A28" s="18" t="str">
        <x:v>Dec</x:v>
      </x:c>
      <x:c r="B28" s="18" t="n">
        <x:v>3400</x:v>
      </x:c>
      <x:c r="C28" s="18"/>
      <x:c r="D28" s="18"/>
      <x:c r="E28" s="18"/>
    </x:row>
    <x:row r="29">
      <x:c r="A29" s="18" t="str">
        <x:v>Jan</x:v>
      </x:c>
      <x:c r="B29" s="18" t="n">
        <x:v>3500</x:v>
      </x:c>
      <x:c r="C29" s="18"/>
      <x:c r="D29" s="18"/>
      <x:c r="E29" s="18"/>
    </x:row>
    <x:row r="30">
      <x:c r="A30" s="18" t="str">
        <x:v>Feb</x:v>
      </x:c>
      <x:c r="B30" s="18" t="n">
        <x:v>3600</x:v>
      </x:c>
      <x:c r="C30" s="18"/>
      <x:c r="D30" s="18"/>
      <x:c r="E30" s="18"/>
    </x:row>
    <x:row r="31">
      <x:c r="A31" s="18" t="str">
        <x:v>Total SDL</x:v>
      </x:c>
      <x:c r="B31" s="18" t="n">
        <x:f>SUM(B19:B30)</x:f>
        <x:v>36600</x:v>
      </x:c>
      <x:c r="C31" s="18"/>
      <x:c r="D31" s="18"/>
      <x:c r="E31" s="18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6" hidden="0" customWidth="1"/>
    <x:col min="7" max="7" width="24" hidden="0" customWidth="1"/>
  </x:cols>
  <x:sheetData>
    <x:row r="1">
      <x:c r="A1" s="6" t="str">
        <x:v>TMPS - Total Measured Procurement Spend</x:v>
      </x:c>
      <x:c r="B1" s="6"/>
      <x:c r="C1" s="6"/>
      <x:c r="D1" s="6"/>
      <x:c r="E1" s="6"/>
      <x:c r="F1" s="6"/>
      <x:c r="G1" s="6"/>
    </x:row>
    <x:row r="2" ht="32" customHeight="1">
      <x:c r="A2" s="14" t="str">
        <x:v>Inclusions</x:v>
      </x:c>
      <x:c r="B2" s="14" t="str">
        <x:v>Amount</x:v>
      </x:c>
      <x:c r="C2" s="14"/>
      <x:c r="D2" s="14"/>
      <x:c r="E2" s="14"/>
      <x:c r="F2" s="14"/>
      <x:c r="G2" s="14"/>
    </x:row>
    <x:row r="3">
      <x:c r="A3" s="18" t="str">
        <x:v>Cost of Sales</x:v>
      </x:c>
      <x:c r="B3" s="18" t="n">
        <x:v>450000</x:v>
      </x:c>
      <x:c r="C3" s="18"/>
      <x:c r="D3" s="18"/>
      <x:c r="E3" s="18"/>
      <x:c r="F3" s="18"/>
      <x:c r="G3" s="18"/>
    </x:row>
    <x:row r="4">
      <x:c r="A4" s="18" t="str">
        <x:v>Other Operating (losses) gains</x:v>
      </x:c>
      <x:c r="B4" s="18" t="n">
        <x:v>10000</x:v>
      </x:c>
      <x:c r="C4" s="18"/>
      <x:c r="D4" s="18"/>
      <x:c r="E4" s="18"/>
      <x:c r="F4" s="18"/>
      <x:c r="G4" s="18"/>
    </x:row>
    <x:row r="5">
      <x:c r="A5" s="18" t="str">
        <x:v>Other Operating Expenses</x:v>
      </x:c>
      <x:c r="B5" s="18" t="n">
        <x:v>180000</x:v>
      </x:c>
      <x:c r="C5" s="18"/>
      <x:c r="D5" s="18"/>
      <x:c r="E5" s="18"/>
      <x:c r="F5" s="18"/>
      <x:c r="G5" s="18"/>
    </x:row>
    <x:row r="6">
      <x:c r="A6" s="18" t="str">
        <x:v>Finance Costs</x:v>
      </x:c>
      <x:c r="B6" s="18" t="n">
        <x:v>25000</x:v>
      </x:c>
      <x:c r="C6" s="18"/>
      <x:c r="D6" s="18"/>
      <x:c r="E6" s="18"/>
      <x:c r="F6" s="18"/>
      <x:c r="G6" s="18"/>
    </x:row>
    <x:row r="7">
      <x:c r="A7" s="18" t="str">
        <x:v>Capital Expenditure</x:v>
      </x:c>
      <x:c r="B7" s="18" t="n">
        <x:v>80000</x:v>
      </x:c>
      <x:c r="C7" s="18"/>
      <x:c r="D7" s="18"/>
      <x:c r="E7" s="18"/>
      <x:c r="F7" s="18"/>
      <x:c r="G7" s="18"/>
    </x:row>
    <x:row r="8">
      <x:c r="A8" s="18" t="str">
        <x:v>Total Inclusions</x:v>
      </x:c>
      <x:c r="B8" s="18" t="n">
        <x:f>SUM(B3:B7)</x:f>
        <x:v>745000</x:v>
      </x:c>
      <x:c r="C8" s="18"/>
      <x:c r="D8" s="18"/>
      <x:c r="E8" s="18"/>
      <x:c r="F8" s="18"/>
      <x:c r="G8" s="18"/>
    </x:row>
    <x:row r="9">
      <x:c r="A9" s="18"/>
      <x:c r="B9" s="18"/>
      <x:c r="C9" s="18"/>
      <x:c r="D9" s="18"/>
      <x:c r="E9" s="18"/>
      <x:c r="F9" s="18"/>
      <x:c r="G9" s="18"/>
    </x:row>
    <x:row r="10">
      <x:c r="A10" s="18" t="str">
        <x:v>Exclusions</x:v>
      </x:c>
      <x:c r="B10" s="18" t="str">
        <x:v>All B-BBEE Suppliers</x:v>
      </x:c>
      <x:c r="C10" s="18" t="str">
        <x:v>QSEs</x:v>
      </x:c>
      <x:c r="D10" s="18" t="str">
        <x:v>EMEs</x:v>
      </x:c>
      <x:c r="E10" s="18" t="str">
        <x:v>51%+ Black Owned</x:v>
      </x:c>
      <x:c r="F10" s="18" t="str">
        <x:v>30%+ Black Women Owned</x:v>
      </x:c>
      <x:c r="G10" s="18" t="str">
        <x:v>Black Designated Groups</x:v>
      </x:c>
    </x:row>
    <x:row r="11">
      <x:c r="A11" s="18" t="str">
        <x:v>Salaries and Wages</x:v>
      </x:c>
      <x:c r="B11" s="18" t="n">
        <x:v>25000</x:v>
      </x:c>
      <x:c r="C11" s="18" t="n">
        <x:v>5000</x:v>
      </x:c>
      <x:c r="D11" s="18" t="n">
        <x:v>3000</x:v>
      </x:c>
      <x:c r="E11" s="18" t="n">
        <x:v>10000</x:v>
      </x:c>
      <x:c r="F11" s="18" t="n">
        <x:v>6000</x:v>
      </x:c>
      <x:c r="G11" s="18" t="n">
        <x:v>2000</x:v>
      </x:c>
    </x:row>
    <x:row r="12">
      <x:c r="A12" s="18" t="str">
        <x:v>Depreciation and Amortisation</x:v>
      </x:c>
      <x:c r="B12" s="18" t="n">
        <x:v>10000</x:v>
      </x:c>
      <x:c r="C12" s="18" t="n">
        <x:v>2000</x:v>
      </x:c>
      <x:c r="D12" s="18" t="n">
        <x:v>1000</x:v>
      </x:c>
      <x:c r="E12" s="18" t="n">
        <x:v>3000</x:v>
      </x:c>
      <x:c r="F12" s="18" t="n">
        <x:v>2000</x:v>
      </x:c>
      <x:c r="G12" s="18" t="n">
        <x:v>500</x:v>
      </x:c>
    </x:row>
    <x:row r="13">
      <x:c r="A13" s="18" t="str">
        <x:v>Bad Debts</x:v>
      </x:c>
      <x:c r="B13" s="18" t="n">
        <x:v>5000</x:v>
      </x:c>
      <x:c r="C13" s="18" t="n">
        <x:v>1000</x:v>
      </x:c>
      <x:c r="D13" s="18" t="n">
        <x:v>1000</x:v>
      </x:c>
      <x:c r="E13" s="18" t="n">
        <x:v>1000</x:v>
      </x:c>
      <x:c r="F13" s="18" t="n">
        <x:v>500</x:v>
      </x:c>
      <x:c r="G13" s="18" t="n">
        <x:v>0</x:v>
      </x:c>
    </x:row>
    <x:row r="14">
      <x:c r="A14" s="18" t="str">
        <x:v>Imports</x:v>
      </x:c>
      <x:c r="B14" s="18" t="n">
        <x:v>10000</x:v>
      </x:c>
      <x:c r="C14" s="18" t="n">
        <x:v>0</x:v>
      </x:c>
      <x:c r="D14" s="18" t="n">
        <x:v>0</x:v>
      </x:c>
      <x:c r="E14" s="18" t="n">
        <x:v>0</x:v>
      </x:c>
      <x:c r="F14" s="18" t="n">
        <x:v>0</x:v>
      </x:c>
      <x:c r="G14" s="18" t="n">
        <x:v>0</x:v>
      </x:c>
    </x:row>
    <x:row r="15">
      <x:c r="A15" s="18" t="str">
        <x:v>Loan Write-Off</x:v>
      </x:c>
      <x:c r="B15" s="18" t="n">
        <x:v>0</x:v>
      </x:c>
      <x:c r="C15" s="18" t="n">
        <x:v>0</x:v>
      </x:c>
      <x:c r="D15" s="18" t="n">
        <x:v>0</x:v>
      </x:c>
      <x:c r="E15" s="18" t="n">
        <x:v>0</x:v>
      </x:c>
      <x:c r="F15" s="18" t="n">
        <x:v>0</x:v>
      </x:c>
      <x:c r="G15" s="18" t="n">
        <x:v>0</x:v>
      </x:c>
    </x:row>
    <x:row r="16">
      <x:c r="A16" s="18" t="str">
        <x:v>International Travel</x:v>
      </x:c>
      <x:c r="B16" s="18" t="n">
        <x:v>0</x:v>
      </x:c>
      <x:c r="C16" s="18" t="n">
        <x:v>0</x:v>
      </x:c>
      <x:c r="D16" s="18" t="n">
        <x:v>0</x:v>
      </x:c>
      <x:c r="E16" s="18" t="n">
        <x:v>0</x:v>
      </x:c>
      <x:c r="F16" s="18" t="n">
        <x:v>0</x:v>
      </x:c>
      <x:c r="G16" s="18" t="n">
        <x:v>0</x:v>
      </x:c>
    </x:row>
    <x:row r="17">
      <x:c r="A17" s="18" t="str">
        <x:v>Finance Costs</x:v>
      </x:c>
      <x:c r="B17" s="18" t="n">
        <x:v>0</x:v>
      </x:c>
      <x:c r="C17" s="18" t="n">
        <x:v>0</x:v>
      </x:c>
      <x:c r="D17" s="18" t="n">
        <x:v>0</x:v>
      </x:c>
      <x:c r="E17" s="18" t="n">
        <x:v>0</x:v>
      </x:c>
      <x:c r="F17" s="18" t="n">
        <x:v>0</x:v>
      </x:c>
      <x:c r="G17" s="18" t="n">
        <x:v>0</x:v>
      </x:c>
    </x:row>
    <x:row r="18">
      <x:c r="A18" s="18" t="str">
        <x:v>Total Exclusions</x:v>
      </x:c>
      <x:c r="B18" s="18" t="n">
        <x:f>SUM(B11:B17)</x:f>
        <x:v>50000</x:v>
      </x:c>
      <x:c r="C18" s="18" t="n">
        <x:f>SUM(C11:C17)</x:f>
        <x:v>8000</x:v>
      </x:c>
      <x:c r="D18" s="18" t="n">
        <x:f>SUM(D11:D17)</x:f>
        <x:v>5000</x:v>
      </x:c>
      <x:c r="E18" s="18" t="n">
        <x:f>SUM(E11:E17)</x:f>
        <x:v>14000</x:v>
      </x:c>
      <x:c r="F18" s="18" t="n">
        <x:f>SUM(F11:F17)</x:f>
        <x:v>8500</x:v>
      </x:c>
      <x:c r="G18" s="18" t="n">
        <x:f>SUM(G11:G17)</x:f>
        <x:v>2500</x:v>
      </x:c>
    </x:row>
    <x:row r="19">
      <x:c r="A19" s="18"/>
      <x:c r="B19" s="18"/>
      <x:c r="C19" s="18"/>
      <x:c r="D19" s="18"/>
      <x:c r="E19" s="18"/>
      <x:c r="F19" s="18"/>
      <x:c r="G19" s="18"/>
    </x:row>
    <x:row r="20">
      <x:c r="A20" s="18" t="str">
        <x:v>Total Measured Procurement Spend</x:v>
      </x:c>
      <x:c r="B20" s="18" t="n">
        <x:f>B8-B18</x:f>
        <x:v>695000</x:v>
      </x:c>
      <x:c r="C20" s="18"/>
      <x:c r="D20" s="18"/>
      <x:c r="E20" s="18"/>
      <x:c r="F20" s="18"/>
      <x:c r="G20" s="18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2" hidden="0" customWidth="1"/>
    <x:col min="4" max="4" width="16" hidden="0" customWidth="1"/>
    <x:col min="5" max="5" width="10" hidden="0" customWidth="1"/>
    <x:col min="6" max="6" width="10" hidden="0" customWidth="1"/>
    <x:col min="7" max="7" width="10" hidden="0" customWidth="1"/>
    <x:col min="8" max="8" width="16" hidden="0" customWidth="1"/>
    <x:col min="9" max="9" width="12" hidden="0" customWidth="1"/>
    <x:col min="10" max="10" width="22" hidden="0" customWidth="1"/>
    <x:col min="11" max="11" width="18" hidden="0" customWidth="1"/>
    <x:col min="12" max="12" width="22" hidden="0" customWidth="1"/>
    <x:col min="13" max="13" width="18" hidden="0" customWidth="1"/>
    <x:col min="14" max="14" width="10" hidden="0" customWidth="1"/>
    <x:col min="15" max="15" width="10" hidden="0" customWidth="1"/>
    <x:col min="16" max="16" width="12" hidden="0" customWidth="1"/>
    <x:col min="17" max="17" width="12" hidden="0" customWidth="1"/>
    <x:col min="18" max="18" width="14" hidden="0" customWidth="1"/>
  </x:cols>
  <x:sheetData>
    <x:row r="1">
      <x:c r="A1" s="6" t="str">
        <x:v>Procurement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32" customHeight="1">
      <x:c r="A2" s="14" t="str">
        <x:v>Vendor</x:v>
      </x:c>
      <x:c r="B2" s="14" t="str">
        <x:v>ZAR</x:v>
      </x:c>
      <x:c r="C2" s="14" t="str">
        <x:v>USD</x:v>
      </x:c>
      <x:c r="D2" s="14" t="str">
        <x:v>% of Spend</x:v>
      </x:c>
      <x:c r="E2" s="14" t="str">
        <x:v>ES</x:v>
      </x:c>
      <x:c r="F2" s="14" t="str">
        <x:v>BO</x:v>
      </x:c>
      <x:c r="G2" s="14" t="str">
        <x:v>BWO</x:v>
      </x:c>
      <x:c r="H2" s="14" t="str">
        <x:v>DESIGNATED</x:v>
      </x:c>
      <x:c r="I2" s="14" t="str">
        <x:v>LOCAL</x:v>
      </x:c>
      <x:c r="J2" s="14" t="str">
        <x:v>Comments</x:v>
      </x:c>
      <x:c r="K2" s="14" t="str">
        <x:v>B-BBEE Level</x:v>
      </x:c>
      <x:c r="L2" s="14" t="str">
        <x:v>B-BBEE Recognition %</x:v>
      </x:c>
      <x:c r="M2" s="14" t="str">
        <x:v>B-BBEE Suppliers</x:v>
      </x:c>
      <x:c r="N2" s="14" t="str">
        <x:v>QSE</x:v>
      </x:c>
      <x:c r="O2" s="14" t="str">
        <x:v>EME</x:v>
      </x:c>
      <x:c r="P2" s="14" t="str">
        <x:v>51% BO</x:v>
      </x:c>
      <x:c r="Q2" s="14" t="str">
        <x:v>30% BWO</x:v>
      </x:c>
      <x:c r="R2" s="14" t="str">
        <x:v>51% BDGS</x:v>
      </x:c>
    </x:row>
    <x:row r="3">
      <x:c r="A3" s="18" t="str">
        <x:v>Acme Supplies (Pty) Ltd</x:v>
      </x:c>
      <x:c r="B3" s="18" t="n">
        <x:v>125000.5</x:v>
      </x:c>
      <x:c r="C3" s="18" t="str"/>
      <x:c r="D3" s="18" t="n">
        <x:v>0.24</x:v>
      </x:c>
      <x:c r="E3" s="18" t="str"/>
      <x:c r="F3" s="18" t="n">
        <x:v>1</x:v>
      </x:c>
      <x:c r="G3" s="18" t="n">
        <x:v>1</x:v>
      </x:c>
      <x:c r="H3" s="18" t="n">
        <x:v>0</x:v>
      </x:c>
      <x:c r="I3" s="18" t="n">
        <x:v>1</x:v>
      </x:c>
      <x:c r="J3" s="18" t="str"/>
      <x:c r="K3" s="18" t="str">
        <x:v>Level 2</x:v>
      </x:c>
      <x:c r="L3" s="18" t="n">
        <x:v>1.25</x:v>
      </x:c>
      <x:c r="M3" s="18" t="n">
        <x:v>1</x:v>
      </x:c>
      <x:c r="N3" s="18" t="n">
        <x:v>0</x:v>
      </x:c>
      <x:c r="O3" s="18" t="n">
        <x:v>0</x:v>
      </x:c>
      <x:c r="P3" s="18" t="n">
        <x:v>1</x:v>
      </x:c>
      <x:c r="Q3" s="18" t="n">
        <x:v>1</x:v>
      </x:c>
      <x:c r="R3" s="18" t="n">
        <x:v>0</x:v>
      </x:c>
    </x:row>
    <x:row r="4">
      <x:c r="A4" s="18" t="str">
        <x:v>Beta Logistics</x:v>
      </x:c>
      <x:c r="B4" s="18" t="n">
        <x:v>89000</x:v>
      </x:c>
      <x:c r="C4" s="18" t="str"/>
      <x:c r="D4" s="18" t="n">
        <x:v>0.17</x:v>
      </x:c>
      <x:c r="E4" s="18" t="str"/>
      <x:c r="F4" s="18" t="n">
        <x:v>0</x:v>
      </x:c>
      <x:c r="G4" s="18" t="n">
        <x:v>0</x:v>
      </x:c>
      <x:c r="H4" s="18" t="n">
        <x:v>0</x:v>
      </x:c>
      <x:c r="I4" s="18" t="n">
        <x:v>1</x:v>
      </x:c>
      <x:c r="J4" s="18" t="str"/>
      <x:c r="K4" s="18" t="str">
        <x:v>Level 4</x:v>
      </x:c>
      <x:c r="L4" s="18" t="n">
        <x:v>1</x:v>
      </x:c>
      <x:c r="M4" s="18" t="n">
        <x:v>1</x:v>
      </x:c>
      <x:c r="N4" s="18" t="n">
        <x:v>1</x:v>
      </x:c>
      <x:c r="O4" s="18" t="n">
        <x:v>0</x:v>
      </x:c>
      <x:c r="P4" s="18" t="n">
        <x:v>0</x:v>
      </x:c>
      <x:c r="Q4" s="18" t="n">
        <x:v>0</x:v>
      </x:c>
      <x:c r="R4" s="18" t="n">
        <x:v>0</x:v>
      </x:c>
    </x:row>
    <x:row r="5">
      <x:c r="A5" s="18" t="str">
        <x:v>Kopano Tech Solutions</x:v>
      </x:c>
      <x:c r="B5" s="18" t="n">
        <x:v>245000</x:v>
      </x:c>
      <x:c r="C5" s="18" t="str"/>
      <x:c r="D5" s="18" t="n">
        <x:v>0.47</x:v>
      </x:c>
      <x:c r="E5" s="18" t="str"/>
      <x:c r="F5" s="18" t="n">
        <x:v>1</x:v>
      </x:c>
      <x:c r="G5" s="18" t="n">
        <x:v>1</x:v>
      </x:c>
      <x:c r="H5" s="18" t="n">
        <x:v>0</x:v>
      </x:c>
      <x:c r="I5" s="18" t="n">
        <x:v>1</x:v>
      </x:c>
      <x:c r="J5" s="18" t="str"/>
      <x:c r="K5" s="18" t="str">
        <x:v>Level 1</x:v>
      </x:c>
      <x:c r="L5" s="18" t="n">
        <x:v>1.35</x:v>
      </x:c>
      <x:c r="M5" s="18" t="n">
        <x:v>1</x:v>
      </x:c>
      <x:c r="N5" s="18" t="n">
        <x:v>0</x:v>
      </x:c>
      <x:c r="O5" s="18" t="n">
        <x:v>0</x:v>
      </x:c>
      <x:c r="P5" s="18" t="n">
        <x:v>1</x:v>
      </x:c>
      <x:c r="Q5" s="18" t="n">
        <x:v>1</x:v>
      </x:c>
      <x:c r="R5" s="18" t="n">
        <x:v>0</x:v>
      </x:c>
    </x:row>
    <x:row r="6">
      <x:c r="A6" s="18" t="str">
        <x:v>Ubuntu Office Furniture</x:v>
      </x:c>
      <x:c r="B6" s="18" t="n">
        <x:v>62000.75</x:v>
      </x:c>
      <x:c r="C6" s="18" t="str"/>
      <x:c r="D6" s="18" t="n">
        <x:v>0.12</x:v>
      </x:c>
      <x:c r="E6" s="18" t="str"/>
      <x:c r="F6" s="18" t="n">
        <x:v>0</x:v>
      </x:c>
      <x:c r="G6" s="18" t="n">
        <x:v>0</x:v>
      </x:c>
      <x:c r="H6" s="18" t="n">
        <x:v>0</x:v>
      </x:c>
      <x:c r="I6" s="18" t="n">
        <x:v>1</x:v>
      </x:c>
      <x:c r="J6" s="18" t="str"/>
      <x:c r="K6" s="18" t="str">
        <x:v>Level 5</x:v>
      </x:c>
      <x:c r="L6" s="18" t="n">
        <x:v>0.8</x:v>
      </x:c>
      <x:c r="M6" s="18" t="n">
        <x:v>1</x:v>
      </x:c>
      <x:c r="N6" s="18" t="n">
        <x:v>1</x:v>
      </x:c>
      <x:c r="O6" s="18" t="n">
        <x:v>0</x:v>
      </x:c>
      <x:c r="P6" s="18" t="n">
        <x:v>0</x:v>
      </x:c>
      <x:c r="Q6" s="18" t="n">
        <x:v>0</x:v>
      </x:c>
      <x:c r="R6" s="18" t="n">
        <x:v>0</x:v>
      </x:c>
    </x:row>
    <x:row r="7">
      <x:c r="A7" s="18" t="str">
        <x:v>Total</x:v>
      </x:c>
      <x:c r="B7" s="18" t="n">
        <x:f>SUM(B3:B6)</x:f>
        <x:v>521001.25</x:v>
      </x:c>
      <x:c r="C7" s="18" t="str"/>
      <x:c r="D7" s="18" t="n">
        <x:v>1</x:v>
      </x:c>
      <x:c r="E7" s="18" t="str"/>
      <x:c r="F7" s="18" t="str"/>
      <x:c r="G7" s="18" t="str"/>
      <x:c r="H7" s="18" t="str"/>
      <x:c r="I7" s="18" t="str"/>
      <x:c r="J7" s="18" t="str"/>
      <x:c r="K7" s="18" t="str"/>
      <x:c r="L7" s="18" t="str"/>
      <x:c r="M7" s="18" t="str"/>
      <x:c r="N7" s="18" t="str"/>
      <x:c r="O7" s="18" t="str"/>
      <x:c r="P7" s="18" t="str"/>
      <x:c r="Q7" s="18" t="str"/>
      <x:c r="R7" s="18" t="str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</x:row>
    <x:row r="9">
      <x:c r="A9" s="18" t="str">
        <x:v>Measurement Category &amp; Criteria</x:v>
      </x:c>
      <x:c r="B9" s="18" t="str">
        <x:v>Target</x:v>
      </x:c>
      <x:c r="C9" s="18" t="str">
        <x:v>Available Points</x:v>
      </x:c>
      <x:c r="D9" s="18" t="str">
        <x:v>Achieved %</x:v>
      </x:c>
      <x:c r="E9" s="18" t="str">
        <x:v>Points Achieved</x:v>
      </x:c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</x:row>
    <x:row r="10">
      <x:c r="A10" s="18" t="str">
        <x:v>All B-BBEE Suppliers</x:v>
      </x:c>
      <x:c r="B10" s="18" t="n">
        <x:v>0.8</x:v>
      </x:c>
      <x:c r="C10" s="18" t="n">
        <x:v>5</x:v>
      </x:c>
      <x:c r="D10" s="18" t="n">
        <x:f>SUM(M3:M6)/4</x:f>
        <x:v>1</x:v>
      </x:c>
      <x:c r="E10" s="18" t="n">
        <x:f>MIN(D10/B10,1)*C10</x:f>
        <x:v>5</x:v>
      </x:c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</x:row>
    <x:row r="11">
      <x:c r="A11" s="18" t="str">
        <x:v>From all QSEs</x:v>
      </x:c>
      <x:c r="B11" s="18" t="n">
        <x:v>0.15</x:v>
      </x:c>
      <x:c r="C11" s="18" t="n">
        <x:v>3</x:v>
      </x:c>
      <x:c r="D11" s="18" t="n">
        <x:f>SUM(N3:N6)/4</x:f>
        <x:v>0.5</x:v>
      </x:c>
      <x:c r="E11" s="18" t="n">
        <x:f>MIN(D11/B11,1)*C11</x:f>
        <x:v>3</x:v>
      </x:c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</x:row>
    <x:row r="12">
      <x:c r="A12" s="18" t="str">
        <x:v>From all EMEs</x:v>
      </x:c>
      <x:c r="B12" s="18" t="n">
        <x:v>0.15</x:v>
      </x:c>
      <x:c r="C12" s="18" t="n">
        <x:v>4</x:v>
      </x:c>
      <x:c r="D12" s="18" t="n">
        <x:f>SUM(O3:O6)/4</x:f>
        <x:v>0</x:v>
      </x:c>
      <x:c r="E12" s="18" t="n">
        <x:f>MIN(D12/B12,1)*C12</x:f>
        <x:v>0</x:v>
      </x:c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</x:row>
    <x:row r="13">
      <x:c r="A13" s="18" t="str">
        <x:v>Spend with at least 51% Black Owned supplier</x:v>
      </x:c>
      <x:c r="B13" s="18" t="n">
        <x:v>0.5</x:v>
      </x:c>
      <x:c r="C13" s="18" t="n">
        <x:v>11</x:v>
      </x:c>
      <x:c r="D13" s="18" t="n">
        <x:f>SUMIF(P3:P6,1,B3:B6)/SUM(B3:B6)</x:f>
        <x:v>0.7101720005470237</x:v>
      </x:c>
      <x:c r="E13" s="18" t="n">
        <x:f>MIN(D13/B13,1)*C13</x:f>
        <x:v>11</x:v>
      </x:c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</x:row>
    <x:row r="14">
      <x:c r="A14" s="18" t="str">
        <x:v>Spend with at least 30% Black Women Owned supplier</x:v>
      </x:c>
      <x:c r="B14" s="18" t="n">
        <x:v>0.12</x:v>
      </x:c>
      <x:c r="C14" s="18" t="n">
        <x:v>4</x:v>
      </x:c>
      <x:c r="D14" s="18" t="n">
        <x:f>SUMIF(Q3:Q6,1,B3:B6)/SUM(B3:B6)</x:f>
        <x:v>0.7101720005470237</x:v>
      </x:c>
      <x:c r="E14" s="18" t="n">
        <x:f>MIN(D14/B14,1)*C14</x:f>
        <x:v>4</x:v>
      </x:c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</x:row>
    <x:row r="15">
      <x:c r="A15" s="18" t="str">
        <x:v>Bonus: Spend with 51% Black Designated Group suppliers</x:v>
      </x:c>
      <x:c r="B15" s="18" t="n">
        <x:v>0.02</x:v>
      </x:c>
      <x:c r="C15" s="18" t="n">
        <x:v>2</x:v>
      </x:c>
      <x:c r="D15" s="18" t="n">
        <x:f>SUMIF(R3:R6,1,B3:B6)/SUM(B3:B6)</x:f>
        <x:v>0</x:v>
      </x:c>
      <x:c r="E15" s="18" t="n">
        <x:f>MIN(D15/B15,1)*C15</x:f>
        <x:v>0</x:v>
      </x:c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</x:row>
    <x:row r="16">
      <x:c r="A16" s="18" t="str">
        <x:v>Total</x:v>
      </x:c>
      <x:c r="B16" s="18" t="str"/>
      <x:c r="C16" s="18" t="n">
        <x:v>29</x:v>
      </x:c>
      <x:c r="D16" s="18" t="str"/>
      <x:c r="E16" s="18" t="n">
        <x:f>SUM(E10:E15)</x:f>
        <x:v>23</x:v>
      </x:c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ED &amp; SD</x:v>
      </x:c>
      <x:c r="B1" s="6"/>
      <x:c r="C1" s="6"/>
      <x:c r="D1" s="6"/>
      <x:c r="E1" s="6"/>
    </x:row>
    <x:row r="2" ht="32" customHeight="1">
      <x:c r="A2" s="14" t="str">
        <x:v>Measurement Category &amp; Criteria</x:v>
      </x:c>
      <x:c r="B2" s="14" t="str">
        <x:v>Target</x:v>
      </x:c>
      <x:c r="C2" s="14" t="str">
        <x:v>Available Points</x:v>
      </x:c>
      <x:c r="D2" s="14" t="str">
        <x:v>Achieved %</x:v>
      </x:c>
      <x:c r="E2" s="14" t="str">
        <x:v>Points Achieved</x:v>
      </x:c>
    </x:row>
    <x:row r="3">
      <x:c r="A3" s="18" t="str">
        <x:v>Enterprise Development against NPAT</x:v>
      </x:c>
      <x:c r="B3" s="18" t="n">
        <x:v>0.01</x:v>
      </x:c>
      <x:c r="C3" s="18" t="n">
        <x:v>5</x:v>
      </x:c>
      <x:c r="D3" s="18" t="n">
        <x:v>0.012</x:v>
      </x:c>
      <x:c r="E3" s="18" t="n">
        <x:f>MIN(D3/B3,1)*C3</x:f>
        <x:v>5</x:v>
      </x:c>
    </x:row>
    <x:row r="4">
      <x:c r="A4" s="18" t="str">
        <x:v>Supplier Development against NPAT</x:v>
      </x:c>
      <x:c r="B4" s="18" t="n">
        <x:v>0.02</x:v>
      </x:c>
      <x:c r="C4" s="18" t="n">
        <x:v>10</x:v>
      </x:c>
      <x:c r="D4" s="18" t="n">
        <x:v>0.021</x:v>
      </x:c>
      <x:c r="E4" s="18" t="n">
        <x:f>MIN(D4/B4,1)*C4</x:f>
        <x:v>10</x:v>
      </x:c>
    </x:row>
    <x:row r="5">
      <x:c r="A5" s="18" t="str">
        <x:v>Bonus: Job Creation</x:v>
      </x:c>
      <x:c r="B5" s="18" t="str">
        <x:v>Yes/No</x:v>
      </x:c>
      <x:c r="C5" s="18" t="n">
        <x:v>1</x:v>
      </x:c>
      <x:c r="D5" s="18" t="str">
        <x:v>Yes</x:v>
      </x:c>
      <x:c r="E5" s="18" t="n">
        <x:v>1</x:v>
      </x:c>
    </x:row>
    <x:row r="6">
      <x:c r="A6" s="18" t="str">
        <x:v>Bonus: Graduation from ED to SD</x:v>
      </x:c>
      <x:c r="B6" s="18" t="str">
        <x:v>Yes/No</x:v>
      </x:c>
      <x:c r="C6" s="18" t="n">
        <x:v>1</x:v>
      </x:c>
      <x:c r="D6" s="18" t="str">
        <x:v>No</x:v>
      </x:c>
      <x:c r="E6" s="18" t="n">
        <x:v>0</x:v>
      </x:c>
    </x:row>
    <x:row r="7">
      <x:c r="A7" s="18" t="str">
        <x:v>Total</x:v>
      </x:c>
      <x:c r="B7" s="18" t="str"/>
      <x:c r="C7" s="18" t="n">
        <x:v>17</x:v>
      </x:c>
      <x:c r="D7" s="18" t="str"/>
      <x:c r="E7" s="18" t="n">
        <x:f>SUM(E3:E6)</x:f>
        <x:v>16</x:v>
      </x:c>
    </x:row>
    <x:row r="8">
      <x:c r="A8" s="18"/>
      <x:c r="B8" s="18"/>
      <x:c r="C8" s="18"/>
      <x:c r="D8" s="18"/>
      <x:c r="E8" s="18"/>
    </x:row>
    <x:row r="9">
      <x:c r="A9" s="18" t="str">
        <x:v>NPAT</x:v>
      </x:c>
      <x:c r="B9" s="18" t="n">
        <x:v>1000000</x:v>
      </x:c>
      <x:c r="C9" s="18"/>
      <x:c r="D9" s="18"/>
      <x:c r="E9" s="18"/>
    </x:row>
    <x:row r="10">
      <x:c r="A10" s="18"/>
      <x:c r="B10" s="18"/>
      <x:c r="C10" s="18"/>
      <x:c r="D10" s="18"/>
      <x:c r="E10" s="18"/>
    </x:row>
    <x:row r="11">
      <x:c r="A11" s="18" t="str">
        <x:v>Enterprise Development table</x:v>
      </x:c>
      <x:c r="B11" s="18"/>
      <x:c r="C11" s="18"/>
      <x:c r="D11" s="18"/>
      <x:c r="E11" s="18"/>
    </x:row>
    <x:row r="12">
      <x:c r="A12" s="18" t="str">
        <x:v>Qualifying Beneficiaries</x:v>
      </x:c>
      <x:c r="B12" s="18" t="str">
        <x:v>Claimed</x:v>
      </x:c>
      <x:c r="C12" s="18" t="str">
        <x:v>Recognised Amount</x:v>
      </x:c>
      <x:c r="D12" s="18" t="str">
        <x:v>Notes</x:v>
      </x:c>
      <x:c r="E12" s="18"/>
    </x:row>
    <x:row r="13">
      <x:c r="A13" s="18" t="str">
        <x:v>Small Supplier Alpha</x:v>
      </x:c>
      <x:c r="B13" s="18" t="n">
        <x:v>12000</x:v>
      </x:c>
      <x:c r="C13" s="18" t="n">
        <x:v>12000</x:v>
      </x:c>
      <x:c r="D13" s="18" t="str">
        <x:v>Grant support</x:v>
      </x:c>
      <x:c r="E13" s="18"/>
    </x:row>
    <x:row r="14">
      <x:c r="A14" s="18" t="str">
        <x:v>Black Owned Startup</x:v>
      </x:c>
      <x:c r="B14" s="18" t="n">
        <x:v>6000</x:v>
      </x:c>
      <x:c r="C14" s="18" t="n">
        <x:v>6000</x:v>
      </x:c>
      <x:c r="D14" s="18" t="str">
        <x:v>Mentorship</x:v>
      </x:c>
      <x:c r="E14" s="18"/>
    </x:row>
    <x:row r="15">
      <x:c r="A15" s="18" t="str">
        <x:v>Summary Target</x:v>
      </x:c>
      <x:c r="B15" s="18" t="n">
        <x:f>B9*1%</x:f>
        <x:v>10000</x:v>
      </x:c>
      <x:c r="C15" s="18" t="str">
        <x:v>Actual</x:v>
      </x:c>
      <x:c r="D15" s="18" t="n">
        <x:f>SUM(C13:C14)</x:f>
        <x:v>18000</x:v>
      </x:c>
      <x:c r="E15" s="18"/>
    </x:row>
    <x:row r="16">
      <x:c r="A16" s="18"/>
      <x:c r="B16" s="18"/>
      <x:c r="C16" s="18"/>
      <x:c r="D16" s="18"/>
      <x:c r="E16" s="18"/>
    </x:row>
    <x:row r="17">
      <x:c r="A17" s="18" t="str">
        <x:v>Supplier Development table</x:v>
      </x:c>
      <x:c r="B17" s="18"/>
      <x:c r="C17" s="18"/>
      <x:c r="D17" s="18"/>
      <x:c r="E17" s="18"/>
    </x:row>
    <x:row r="18">
      <x:c r="A18" s="18" t="str">
        <x:v>Qualifying Beneficiaries</x:v>
      </x:c>
      <x:c r="B18" s="18" t="str">
        <x:v>Claimed</x:v>
      </x:c>
      <x:c r="C18" s="18" t="str">
        <x:v>Recognised Amount</x:v>
      </x:c>
      <x:c r="D18" s="18" t="str">
        <x:v>Notes</x:v>
      </x:c>
      <x:c r="E18" s="18"/>
    </x:row>
    <x:row r="19">
      <x:c r="A19" s="18" t="str">
        <x:v>QSE Supplier Growth</x:v>
      </x:c>
      <x:c r="B19" s="18" t="n">
        <x:v>22000</x:v>
      </x:c>
      <x:c r="C19" s="18" t="n">
        <x:v>22000</x:v>
      </x:c>
      <x:c r="D19" s="18" t="str">
        <x:v>Equipment finance</x:v>
      </x:c>
      <x:c r="E19" s="18"/>
    </x:row>
    <x:row r="20">
      <x:c r="A20" s="18" t="str">
        <x:v>EME Supplier Enablement</x:v>
      </x:c>
      <x:c r="B20" s="18" t="n">
        <x:v>8000</x:v>
      </x:c>
      <x:c r="C20" s="18" t="n">
        <x:v>8000</x:v>
      </x:c>
      <x:c r="D20" s="18" t="str">
        <x:v>Systems support</x:v>
      </x:c>
      <x:c r="E20" s="18"/>
    </x:row>
    <x:row r="21">
      <x:c r="A21" s="18" t="str">
        <x:v>Summary Target</x:v>
      </x:c>
      <x:c r="B21" s="18" t="n">
        <x:f>B9*2%</x:f>
        <x:v>20000</x:v>
      </x:c>
      <x:c r="C21" s="18" t="str">
        <x:v>Actual</x:v>
      </x:c>
      <x:c r="D21" s="18" t="n">
        <x:f>SUM(C20:C21)</x:f>
        <x:v>8000</x:v>
      </x:c>
      <x:c r="E21" s="18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22" hidden="0" customWidth="1"/>
    <x:col min="4" max="4" width="28" hidden="0" customWidth="1"/>
    <x:col min="5" max="5" width="18" hidden="0" customWidth="1"/>
  </x:cols>
  <x:sheetData>
    <x:row r="1">
      <x:c r="A1" s="6" t="str">
        <x:v>SED</x:v>
      </x:c>
      <x:c r="B1" s="6"/>
      <x:c r="C1" s="6"/>
      <x:c r="D1" s="6"/>
      <x:c r="E1" s="6"/>
    </x:row>
    <x:row r="2" ht="32" customHeight="1">
      <x:c r="A2" s="14" t="str">
        <x:v>Measurement Category &amp; Criteria</x:v>
      </x:c>
      <x:c r="B2" s="14" t="str">
        <x:v>Target</x:v>
      </x:c>
      <x:c r="C2" s="14" t="str">
        <x:v>Available Points</x:v>
      </x:c>
      <x:c r="D2" s="14" t="str">
        <x:v>Achieved %</x:v>
      </x:c>
      <x:c r="E2" s="14" t="str">
        <x:v>Points Achieved</x:v>
      </x:c>
    </x:row>
    <x:row r="3">
      <x:c r="A3" s="18" t="str">
        <x:v>SED support against NPAT</x:v>
      </x:c>
      <x:c r="B3" s="18" t="n">
        <x:v>0.01</x:v>
      </x:c>
      <x:c r="C3" s="18" t="n">
        <x:v>5</x:v>
      </x:c>
      <x:c r="D3" s="18" t="n">
        <x:v>0.013</x:v>
      </x:c>
      <x:c r="E3" s="18" t="n">
        <x:f>MIN(D3/B3,1)*C3</x:f>
        <x:v>5</x:v>
      </x:c>
    </x:row>
    <x:row r="4">
      <x:c r="A4" s="18" t="str">
        <x:v>Total</x:v>
      </x:c>
      <x:c r="B4" s="18" t="str"/>
      <x:c r="C4" s="18" t="n">
        <x:v>5</x:v>
      </x:c>
      <x:c r="D4" s="18" t="str"/>
      <x:c r="E4" s="18" t="n">
        <x:f>SUM(E3:E3)</x:f>
        <x:v>5</x:v>
      </x:c>
    </x:row>
    <x:row r="5">
      <x:c r="A5" s="18"/>
      <x:c r="B5" s="18"/>
      <x:c r="C5" s="18"/>
      <x:c r="D5" s="18"/>
      <x:c r="E5" s="18"/>
    </x:row>
    <x:row r="6">
      <x:c r="A6" s="18" t="str">
        <x:v>Net Profit After Tax (NPAT)</x:v>
      </x:c>
      <x:c r="B6" s="18" t="n">
        <x:v>1000000</x:v>
      </x:c>
      <x:c r="C6" s="18"/>
      <x:c r="D6" s="18"/>
      <x:c r="E6" s="18"/>
    </x:row>
    <x:row r="7">
      <x:c r="A7" s="18"/>
      <x:c r="B7" s="18"/>
      <x:c r="C7" s="18"/>
      <x:c r="D7" s="18"/>
      <x:c r="E7" s="18"/>
    </x:row>
    <x:row r="8">
      <x:c r="A8" s="18" t="str">
        <x:v>SED Contributions</x:v>
      </x:c>
      <x:c r="B8" s="18"/>
      <x:c r="C8" s="18"/>
      <x:c r="D8" s="18"/>
      <x:c r="E8" s="18"/>
    </x:row>
    <x:row r="9">
      <x:c r="A9" s="18" t="str">
        <x:v>Qualifying Beneficiaries</x:v>
      </x:c>
      <x:c r="B9" s="18" t="str">
        <x:v>Claimed</x:v>
      </x:c>
      <x:c r="C9" s="18" t="str">
        <x:v>Recognised Amount</x:v>
      </x:c>
      <x:c r="D9" s="18" t="str">
        <x:v>Notes</x:v>
      </x:c>
      <x:c r="E9" s="18"/>
    </x:row>
    <x:row r="10">
      <x:c r="A10" s="18" t="str">
        <x:v>Youth Education Fund</x:v>
      </x:c>
      <x:c r="B10" s="18" t="n">
        <x:v>8000</x:v>
      </x:c>
      <x:c r="C10" s="18" t="n">
        <x:v>8000</x:v>
      </x:c>
      <x:c r="D10" s="18" t="str">
        <x:v>Donation</x:v>
      </x:c>
      <x:c r="E10" s="18"/>
    </x:row>
    <x:row r="11">
      <x:c r="A11" s="18" t="str">
        <x:v>Community Food Programme</x:v>
      </x:c>
      <x:c r="B11" s="18" t="n">
        <x:v>5000</x:v>
      </x:c>
      <x:c r="C11" s="18" t="n">
        <x:v>5000</x:v>
      </x:c>
      <x:c r="D11" s="18" t="str">
        <x:v>Donation</x:v>
      </x:c>
      <x:c r="E11" s="18"/>
    </x:row>
    <x:row r="12">
      <x:c r="A12" s="18" t="str">
        <x:v>Beneficiaries</x:v>
      </x:c>
      <x:c r="B12" s="18" t="n">
        <x:v>2</x:v>
      </x:c>
      <x:c r="C12" s="18" t="str">
        <x:v>Total Donation amount</x:v>
      </x:c>
      <x:c r="D12" s="18" t="n">
        <x:f>SUM(C10:C11)</x:f>
        <x:v>13000</x:v>
      </x:c>
      <x:c r="E12" s="18"/>
    </x:row>
    <x:row r="13">
      <x:c r="A13" s="18" t="str">
        <x:v>Revenue / Target / Actual / Gap</x:v>
      </x:c>
      <x:c r="B13" s="18" t="n">
        <x:v>1000000</x:v>
      </x:c>
      <x:c r="C13" s="18" t="n">
        <x:f>B6*1%</x:f>
        <x:v>10000</x:v>
      </x:c>
      <x:c r="D13" s="18" t="n">
        <x:f>D12-C13</x:f>
        <x:v>3000</x:v>
      </x:c>
      <x:c r="E13" s="18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Full Scorecard</x:v>
      </x:c>
      <x:c r="B1" s="6"/>
      <x:c r="C1" s="6"/>
      <x:c r="D1" s="6"/>
      <x:c r="E1" s="6"/>
      <x:c r="F1" s="6"/>
      <x:c r="G1" s="6"/>
    </x:row>
    <x:row r="2" ht="32" customHeight="1">
      <x:c r="A2" s="14" t="str">
        <x:v>Element</x:v>
      </x:c>
      <x:c r="B2" s="14" t="str">
        <x:v>Target %</x:v>
      </x:c>
      <x:c r="C2" s="14" t="str">
        <x:v>Available Points</x:v>
      </x:c>
      <x:c r="D2" s="14" t="str">
        <x:v>% Achieved</x:v>
      </x:c>
      <x:c r="E2" s="14" t="str">
        <x:v>Points Achieved</x:v>
      </x:c>
      <x:c r="F2" s="14" t="str">
        <x:v>Possible Points 1</x:v>
      </x:c>
      <x:c r="G2" s="14" t="str">
        <x:v>Possible Points 2</x:v>
      </x:c>
    </x:row>
    <x:row r="3">
      <x:c r="A3" s="18" t="str">
        <x:v>Ownership</x:v>
      </x:c>
      <x:c r="B3" s="18" t="str"/>
      <x:c r="C3" s="18" t="n">
        <x:v>25</x:v>
      </x:c>
      <x:c r="D3" s="18" t="str"/>
      <x:c r="E3" s="18" t="n">
        <x:f>'Ownership'!E10</x:f>
        <x:v>24.04</x:v>
      </x:c>
      <x:c r="F3" s="18" t="n">
        <x:v>25</x:v>
      </x:c>
      <x:c r="G3" s="18" t="n">
        <x:v>25</x:v>
      </x:c>
    </x:row>
    <x:row r="4">
      <x:c r="A4" s="18" t="str">
        <x:v>Management Control</x:v>
      </x:c>
      <x:c r="B4" s="18" t="str"/>
      <x:c r="C4" s="18" t="n">
        <x:v>19</x:v>
      </x:c>
      <x:c r="D4" s="18" t="str"/>
      <x:c r="E4" s="18" t="n">
        <x:f>'Management Control'!E9</x:f>
        <x:v>13.000000000000002</x:v>
      </x:c>
      <x:c r="F4" s="18" t="n">
        <x:v>12.94</x:v>
      </x:c>
      <x:c r="G4" s="18" t="n">
        <x:v>12.94</x:v>
      </x:c>
    </x:row>
    <x:row r="5">
      <x:c r="A5" s="18" t="str">
        <x:v>Skills Development</x:v>
      </x:c>
      <x:c r="B5" s="18" t="str"/>
      <x:c r="C5" s="18" t="n">
        <x:v>20</x:v>
      </x:c>
      <x:c r="D5" s="18" t="str"/>
      <x:c r="E5" s="18" t="n">
        <x:f>'Skills Development'!E8</x:f>
        <x:v>23.333333333333336</x:v>
      </x:c>
      <x:c r="F5" s="18" t="n">
        <x:v>19.22</x:v>
      </x:c>
      <x:c r="G5" s="18" t="n">
        <x:v>24.22</x:v>
      </x:c>
    </x:row>
    <x:row r="6">
      <x:c r="A6" s="18" t="str">
        <x:v>ESD - Preferential Procurement</x:v>
      </x:c>
      <x:c r="B6" s="18" t="str"/>
      <x:c r="C6" s="18" t="n">
        <x:v>27</x:v>
      </x:c>
      <x:c r="D6" s="18" t="str"/>
      <x:c r="E6" s="18" t="n">
        <x:f>'Procurement'!E16</x:f>
        <x:v>23</x:v>
      </x:c>
      <x:c r="F6" s="18" t="n">
        <x:v>13</x:v>
      </x:c>
      <x:c r="G6" s="18" t="n">
        <x:v>13</x:v>
      </x:c>
    </x:row>
    <x:row r="7">
      <x:c r="A7" s="18" t="str">
        <x:v>ESD - Enterprise Development</x:v>
      </x:c>
      <x:c r="B7" s="18" t="str"/>
      <x:c r="C7" s="18" t="n">
        <x:v>5</x:v>
      </x:c>
      <x:c r="D7" s="18" t="str"/>
      <x:c r="E7" s="18" t="n">
        <x:f>'ED &amp; SD'!E3</x:f>
        <x:v>5</x:v>
      </x:c>
      <x:c r="F7" s="18" t="n">
        <x:v>5</x:v>
      </x:c>
      <x:c r="G7" s="18" t="n">
        <x:v>5</x:v>
      </x:c>
    </x:row>
    <x:row r="8">
      <x:c r="A8" s="18" t="str">
        <x:v>ESD - Supplier Development</x:v>
      </x:c>
      <x:c r="B8" s="18" t="str"/>
      <x:c r="C8" s="18" t="n">
        <x:v>10</x:v>
      </x:c>
      <x:c r="D8" s="18" t="str"/>
      <x:c r="E8" s="18" t="n">
        <x:f>'ED &amp; SD'!E4</x:f>
        <x:v>10</x:v>
      </x:c>
      <x:c r="F8" s="18" t="n">
        <x:v>10</x:v>
      </x:c>
      <x:c r="G8" s="18" t="n">
        <x:v>12</x:v>
      </x:c>
    </x:row>
    <x:row r="9">
      <x:c r="A9" s="18" t="str">
        <x:v>Socio-Economic Development</x:v>
      </x:c>
      <x:c r="B9" s="18" t="str"/>
      <x:c r="C9" s="18" t="n">
        <x:v>5</x:v>
      </x:c>
      <x:c r="D9" s="18" t="str"/>
      <x:c r="E9" s="18" t="n">
        <x:f>'SED'!E4</x:f>
        <x:v>5</x:v>
      </x:c>
      <x:c r="F9" s="18" t="n">
        <x:v>5</x:v>
      </x:c>
      <x:c r="G9" s="18" t="n">
        <x:v>5</x:v>
      </x:c>
    </x:row>
    <x:row r="10">
      <x:c r="A10" s="18" t="str">
        <x:v>Grand Total</x:v>
      </x:c>
      <x:c r="B10" s="18" t="str"/>
      <x:c r="C10" s="18" t="n">
        <x:v>111</x:v>
      </x:c>
      <x:c r="D10" s="18" t="str"/>
      <x:c r="E10" s="18" t="n">
        <x:f>SUM(E3:E9)</x:f>
        <x:v>103.37333333333333</x:v>
      </x:c>
      <x:c r="F10" s="18" t="n">
        <x:v>90.16</x:v>
      </x:c>
      <x:c r="G10" s="18" t="n">
        <x:v>97.16</x:v>
      </x:c>
    </x:row>
    <x:row r="11">
      <x:c r="A11" s="18"/>
      <x:c r="B11" s="18"/>
      <x:c r="C11" s="18"/>
      <x:c r="D11" s="18"/>
      <x:c r="E11" s="18"/>
      <x:c r="F11" s="18"/>
      <x:c r="G11" s="18"/>
    </x:row>
    <x:row r="12">
      <x:c r="A12" s="18" t="str">
        <x:v>B-BBEE Level Table</x:v>
      </x:c>
      <x:c r="B12" s="18" t="str">
        <x:v>Minimum Points</x:v>
      </x:c>
      <x:c r="C12" s="18" t="str">
        <x:v>Recognition</x:v>
      </x:c>
      <x:c r="D12" s="18"/>
      <x:c r="E12" s="18"/>
      <x:c r="F12" s="18"/>
      <x:c r="G12" s="18"/>
    </x:row>
    <x:row r="13">
      <x:c r="A13" s="18" t="str">
        <x:v>Level 1</x:v>
      </x:c>
      <x:c r="B13" s="18" t="n">
        <x:v>100</x:v>
      </x:c>
      <x:c r="C13" s="18" t="n">
        <x:v>1.35</x:v>
      </x:c>
      <x:c r="D13" s="18"/>
      <x:c r="E13" s="18"/>
      <x:c r="F13" s="18"/>
      <x:c r="G13" s="18"/>
    </x:row>
    <x:row r="14">
      <x:c r="A14" s="18" t="str">
        <x:v>Level 2</x:v>
      </x:c>
      <x:c r="B14" s="18" t="n">
        <x:v>95</x:v>
      </x:c>
      <x:c r="C14" s="18" t="n">
        <x:v>1.25</x:v>
      </x:c>
      <x:c r="D14" s="18"/>
      <x:c r="E14" s="18"/>
      <x:c r="F14" s="18"/>
      <x:c r="G14" s="18"/>
    </x:row>
    <x:row r="15">
      <x:c r="A15" s="18" t="str">
        <x:v>Level 3</x:v>
      </x:c>
      <x:c r="B15" s="18" t="n">
        <x:v>90</x:v>
      </x:c>
      <x:c r="C15" s="18" t="n">
        <x:v>1.1</x:v>
      </x:c>
      <x:c r="D15" s="18"/>
      <x:c r="E15" s="18"/>
      <x:c r="F15" s="18"/>
      <x:c r="G15" s="18"/>
    </x:row>
    <x:row r="16">
      <x:c r="A16" s="18" t="str">
        <x:v>Level 4</x:v>
      </x:c>
      <x:c r="B16" s="18" t="n">
        <x:v>80</x:v>
      </x:c>
      <x:c r="C16" s="18" t="n">
        <x:v>1</x:v>
      </x:c>
      <x:c r="D16" s="18"/>
      <x:c r="E16" s="18"/>
      <x:c r="F16" s="18"/>
      <x:c r="G16" s="18"/>
    </x:row>
    <x:row r="17">
      <x:c r="A17" s="18" t="str">
        <x:v>Level 5</x:v>
      </x:c>
      <x:c r="B17" s="18" t="n">
        <x:v>75</x:v>
      </x:c>
      <x:c r="C17" s="18" t="n">
        <x:v>0.8</x:v>
      </x:c>
      <x:c r="D17" s="18"/>
      <x:c r="E17" s="18"/>
      <x:c r="F17" s="18"/>
      <x:c r="G17" s="18"/>
    </x:row>
    <x:row r="18">
      <x:c r="A18" s="18" t="str">
        <x:v>Level 6</x:v>
      </x:c>
      <x:c r="B18" s="18" t="n">
        <x:v>70</x:v>
      </x:c>
      <x:c r="C18" s="18" t="n">
        <x:v>0.6</x:v>
      </x:c>
      <x:c r="D18" s="18"/>
      <x:c r="E18" s="18"/>
      <x:c r="F18" s="18"/>
      <x:c r="G18" s="18"/>
    </x:row>
    <x:row r="19">
      <x:c r="A19" s="18" t="str">
        <x:v>Level 7</x:v>
      </x:c>
      <x:c r="B19" s="18" t="n">
        <x:v>55</x:v>
      </x:c>
      <x:c r="C19" s="18" t="n">
        <x:v>0.5</x:v>
      </x:c>
      <x:c r="D19" s="18"/>
      <x:c r="E19" s="18"/>
      <x:c r="F19" s="18"/>
      <x:c r="G19" s="18"/>
    </x:row>
    <x:row r="20">
      <x:c r="A20" s="18" t="str">
        <x:v>Level 8</x:v>
      </x:c>
      <x:c r="B20" s="18" t="n">
        <x:v>40</x:v>
      </x:c>
      <x:c r="C20" s="18" t="n">
        <x:v>0.1</x:v>
      </x:c>
      <x:c r="D20" s="18"/>
      <x:c r="E20" s="18"/>
      <x:c r="F20" s="18"/>
      <x:c r="G20" s="18"/>
    </x:row>
    <x:row r="21">
      <x:c r="A21" s="18" t="str">
        <x:v>Non-compliant</x:v>
      </x:c>
      <x:c r="B21" s="18" t="n">
        <x:v>0</x:v>
      </x:c>
      <x:c r="C21" s="18" t="n">
        <x:v>0</x:v>
      </x:c>
      <x:c r="D21" s="18"/>
      <x:c r="E21" s="18"/>
      <x:c r="F21" s="18"/>
      <x:c r="G21" s="18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NPAT</x:v>
      </x:c>
      <x:c r="B1" s="6"/>
      <x:c r="C1" s="6"/>
      <x:c r="D1" s="6"/>
      <x:c r="E1" s="6"/>
      <x:c r="F1" s="6"/>
    </x:row>
    <x:row r="2" ht="32" customHeight="1">
      <x:c r="A2" s="14" t="str">
        <x:v>Sector</x:v>
      </x:c>
      <x:c r="B2" s="14" t="str">
        <x:v>Quarter</x:v>
      </x:c>
      <x:c r="C2" s="14" t="str">
        <x:v>Turnover (R mil)</x:v>
      </x:c>
      <x:c r="D2" s="14" t="str">
        <x:v>NPBT (R mil)</x:v>
      </x:c>
      <x:c r="E2" s="14" t="str">
        <x:v>Company Tax</x:v>
      </x:c>
      <x:c r="F2" s="14" t="str">
        <x:v>NPAT</x:v>
      </x:c>
    </x:row>
    <x:row r="3">
      <x:c r="A3" s="18" t="str">
        <x:v>Electricity, Gas and Water Supply</x:v>
      </x:c>
      <x:c r="B3" s="18" t="str">
        <x:v>Q1</x:v>
      </x:c>
      <x:c r="C3" s="18" t="n">
        <x:v>100</x:v>
      </x:c>
      <x:c r="D3" s="18" t="n">
        <x:v>-5</x:v>
      </x:c>
      <x:c r="E3" s="18" t="n">
        <x:v>0</x:v>
      </x:c>
      <x:c r="F3" s="18" t="n">
        <x:v>-5</x:v>
      </x:c>
    </x:row>
    <x:row r="4">
      <x:c r="A4" s="18" t="str">
        <x:v>Electricity, Gas and Water Supply</x:v>
      </x:c>
      <x:c r="B4" s="18" t="str">
        <x:v>Q2</x:v>
      </x:c>
      <x:c r="C4" s="18" t="n">
        <x:v>120</x:v>
      </x:c>
      <x:c r="D4" s="18" t="n">
        <x:v>-4</x:v>
      </x:c>
      <x:c r="E4" s="18" t="n">
        <x:v>0</x:v>
      </x:c>
      <x:c r="F4" s="18" t="n">
        <x:v>-4</x:v>
      </x:c>
    </x:row>
    <x:row r="5">
      <x:c r="A5" s="18" t="str">
        <x:v>Electricity, Gas and Water Supply</x:v>
      </x:c>
      <x:c r="B5" s="18" t="str">
        <x:v>Q3</x:v>
      </x:c>
      <x:c r="C5" s="18" t="n">
        <x:v>130</x:v>
      </x:c>
      <x:c r="D5" s="18" t="n">
        <x:v>-3</x:v>
      </x:c>
      <x:c r="E5" s="18" t="n">
        <x:v>0</x:v>
      </x:c>
      <x:c r="F5" s="18" t="n">
        <x:v>-3</x:v>
      </x:c>
    </x:row>
    <x:row r="6">
      <x:c r="A6" s="18" t="str">
        <x:v>Electricity, Gas and Water Supply</x:v>
      </x:c>
      <x:c r="B6" s="18" t="str">
        <x:v>Q4</x:v>
      </x:c>
      <x:c r="C6" s="18" t="n">
        <x:v>140</x:v>
      </x:c>
      <x:c r="D6" s="18" t="n">
        <x:v>-6</x:v>
      </x:c>
      <x:c r="E6" s="18" t="n">
        <x:v>0</x:v>
      </x:c>
      <x:c r="F6" s="18" t="n">
        <x:v>-6</x:v>
      </x:c>
    </x:row>
    <x:row r="7">
      <x:c r="A7" s="18" t="str">
        <x:v>Electricity, Gas and Water Supply</x:v>
      </x:c>
      <x:c r="B7" s="18" t="str">
        <x:v>Q5</x:v>
      </x:c>
      <x:c r="C7" s="18" t="n">
        <x:v>150</x:v>
      </x:c>
      <x:c r="D7" s="18" t="n">
        <x:v>-4</x:v>
      </x:c>
      <x:c r="E7" s="18" t="n">
        <x:v>0</x:v>
      </x:c>
      <x:c r="F7" s="18" t="n">
        <x:v>-4</x:v>
      </x:c>
    </x:row>
    <x:row r="8">
      <x:c r="A8" s="18" t="str">
        <x:v>Industry profit norm after tax</x:v>
      </x:c>
      <x:c r="B8" s="18" t="n">
        <x:v>-0.0374</x:v>
      </x:c>
      <x:c r="C8" s="18" t="str">
        <x:v>Multiplier</x:v>
      </x:c>
      <x:c r="D8" s="18" t="n">
        <x:v>-0.00935</x:v>
      </x:c>
      <x:c r="E8" s="18" t="str">
        <x:v>Revenue Projection</x:v>
      </x:c>
      <x:c r="F8" s="18" t="n">
        <x:v>1000000</x:v>
      </x:c>
    </x:row>
    <x:row r="9">
      <x:c r="A9" s="18" t="str">
        <x:v>Deemed NPAT</x:v>
      </x:c>
      <x:c r="B9" s="18" t="n">
        <x:f>F8*D8</x:f>
        <x:v>-9350</x:v>
      </x:c>
      <x:c r="C9" s="18" t="str">
        <x:v>ED goal</x:v>
      </x:c>
      <x:c r="D9" s="18" t="n">
        <x:f>B9*1%</x:f>
        <x:v>-93.5</x:v>
      </x:c>
      <x:c r="E9" s="18" t="str">
        <x:v>SD goal</x:v>
      </x:c>
      <x:c r="F9" s="18" t="n">
        <x:f>B9*2%</x:f>
        <x:v>-187</x:v>
      </x:c>
    </x:row>
    <x:row r="10">
      <x:c r="A10" s="18" t="str">
        <x:v>SED goal</x:v>
      </x:c>
      <x:c r="B10" s="18" t="n">
        <x:f>B9*1%</x:f>
        <x:v>-93.5</x:v>
      </x:c>
      <x:c r="C10" s="18" t="str"/>
      <x:c r="D10" s="18" t="str"/>
      <x:c r="E10" s="18" t="str"/>
      <x:c r="F10" s="18" t="str"/>
    </x:row>
    <x:row r="11">
      <x:c r="A11" s="18"/>
      <x:c r="B11" s="18"/>
      <x:c r="C11" s="18"/>
      <x:c r="D11" s="18"/>
      <x:c r="E11" s="18"/>
      <x:c r="F11" s="18"/>
    </x:row>
    <x:row r="12">
      <x:c r="A12" s="18" t="str">
        <x:v>Trade</x:v>
      </x:c>
      <x:c r="B12" s="18" t="str">
        <x:v>Q1</x:v>
      </x:c>
      <x:c r="C12" s="18" t="n">
        <x:v>100</x:v>
      </x:c>
      <x:c r="D12" s="18" t="n">
        <x:v>6</x:v>
      </x:c>
      <x:c r="E12" s="18" t="n">
        <x:v>1.68</x:v>
      </x:c>
      <x:c r="F12" s="18" t="n">
        <x:v>4.32</x:v>
      </x:c>
    </x:row>
    <x:row r="13">
      <x:c r="A13" s="18" t="str">
        <x:v>Trade</x:v>
      </x:c>
      <x:c r="B13" s="18" t="str">
        <x:v>Q2</x:v>
      </x:c>
      <x:c r="C13" s="18" t="n">
        <x:v>120</x:v>
      </x:c>
      <x:c r="D13" s="18" t="n">
        <x:v>7</x:v>
      </x:c>
      <x:c r="E13" s="18" t="n">
        <x:v>1.96</x:v>
      </x:c>
      <x:c r="F13" s="18" t="n">
        <x:v>5.04</x:v>
      </x:c>
    </x:row>
    <x:row r="14">
      <x:c r="A14" s="18" t="str">
        <x:v>Trade</x:v>
      </x:c>
      <x:c r="B14" s="18" t="str">
        <x:v>Q3</x:v>
      </x:c>
      <x:c r="C14" s="18" t="n">
        <x:v>130</x:v>
      </x:c>
      <x:c r="D14" s="18" t="n">
        <x:v>8</x:v>
      </x:c>
      <x:c r="E14" s="18" t="n">
        <x:v>2.24</x:v>
      </x:c>
      <x:c r="F14" s="18" t="n">
        <x:v>5.76</x:v>
      </x:c>
    </x:row>
    <x:row r="15">
      <x:c r="A15" s="18" t="str">
        <x:v>Trade</x:v>
      </x:c>
      <x:c r="B15" s="18" t="str">
        <x:v>Q4</x:v>
      </x:c>
      <x:c r="C15" s="18" t="n">
        <x:v>140</x:v>
      </x:c>
      <x:c r="D15" s="18" t="n">
        <x:v>7</x:v>
      </x:c>
      <x:c r="E15" s="18" t="n">
        <x:v>1.96</x:v>
      </x:c>
      <x:c r="F15" s="18" t="n">
        <x:v>5.04</x:v>
      </x:c>
    </x:row>
    <x:row r="16">
      <x:c r="A16" s="18" t="str">
        <x:v>Trade</x:v>
      </x:c>
      <x:c r="B16" s="18" t="str">
        <x:v>Q5</x:v>
      </x:c>
      <x:c r="C16" s="18" t="n">
        <x:v>150</x:v>
      </x:c>
      <x:c r="D16" s="18" t="n">
        <x:v>9</x:v>
      </x:c>
      <x:c r="E16" s="18" t="n">
        <x:v>2.52</x:v>
      </x:c>
      <x:c r="F16" s="18" t="n">
        <x:v>6.48</x:v>
      </x:c>
    </x:row>
    <x:row r="17">
      <x:c r="A17" s="18" t="str">
        <x:v>Industry profit norm after tax</x:v>
      </x:c>
      <x:c r="B17" s="18" t="n">
        <x:v>0.0433</x:v>
      </x:c>
      <x:c r="C17" s="18" t="str">
        <x:v>Multiplier</x:v>
      </x:c>
      <x:c r="D17" s="18" t="n">
        <x:v>0.0108</x:v>
      </x:c>
      <x:c r="E17" s="18" t="str">
        <x:v>Revenue Projection</x:v>
      </x:c>
      <x:c r="F17" s="18" t="n">
        <x:v>1000000</x:v>
      </x:c>
    </x:row>
    <x:row r="18">
      <x:c r="A18" s="18" t="str">
        <x:v>Deemed NPAT</x:v>
      </x:c>
      <x:c r="B18" s="18" t="n">
        <x:f>F17*D17</x:f>
        <x:v>10800</x:v>
      </x:c>
      <x:c r="C18" s="18" t="str">
        <x:v>ED goal</x:v>
      </x:c>
      <x:c r="D18" s="18" t="n">
        <x:f>B18*1%</x:f>
        <x:v>108</x:v>
      </x:c>
      <x:c r="E18" s="18" t="str">
        <x:v>SD goal</x:v>
      </x:c>
      <x:c r="F18" s="18" t="n">
        <x:f>B18*2%</x:f>
        <x:v>216</x:v>
      </x:c>
    </x:row>
    <x:row r="19">
      <x:c r="A19" s="18" t="str">
        <x:v>SED goal</x:v>
      </x:c>
      <x:c r="B19" s="18" t="n">
        <x:f>B18*1%</x:f>
        <x:v>108</x:v>
      </x:c>
      <x:c r="C19" s="18" t="str"/>
      <x:c r="D19" s="18" t="str"/>
      <x:c r="E19" s="18" t="str"/>
      <x:c r="F19" s="18" t="str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>
      <x:c r="A1" s="6" t="str">
        <x:v>Instructions</x:v>
      </x:c>
      <x:c r="B1" s="6"/>
    </x:row>
    <x:row r="2" ht="32" customHeight="1">
      <x:c r="A2" s="14" t="str">
        <x:v>Purpose</x:v>
      </x:c>
      <x:c r="B2" s="14" t="str">
        <x:v>This controlled workbook is for testing full-scorecard upload/import logic. It contains clean sheet names, expected headers, sample rows, and formula-style summary sections based on the provided B-BBEE Generic Scorecard structure.</x:v>
      </x:c>
    </x:row>
    <x:row r="3">
      <x:c r="A3" s="18" t="str">
        <x:v>Important</x:v>
      </x:c>
      <x:c r="B3" s="18" t="str">
        <x:v>This is not a legal compliance document. It is a software test fixture and starter upload template.</x:v>
      </x:c>
    </x:row>
    <x:row r="4">
      <x:c r="A4" s="18" t="str">
        <x:v>Procurement path</x:v>
      </x:c>
      <x:c r="B4" s="18" t="str">
        <x:v>The Procurement sheet includes supplier-register rows with Vendor and ZAR columns. This is the format your current app can read.</x:v>
      </x:c>
    </x:row>
    <x:row r="5">
      <x:c r="A5" s="18" t="str">
        <x:v>Full scorecard path</x:v>
      </x:c>
      <x:c r="B5" s="18" t="str">
        <x:v>The other sheets give Cursor a stable target for Ownership, Management Control, Skills Development, ED/SD, SED, Full Scorecard, NPAT, and supporting registers.</x:v>
      </x:c>
    </x:row>
    <x:row r="6">
      <x:c r="A6" s="18" t="str">
        <x:v>Recommended implementation</x:v>
      </x:c>
      <x:c r="B6" s="18" t="str">
        <x:v>Build import adapters per domain: detect sheet, detect header row, map columns, parse rows, validate missing fields, show preview, and then apply into app state.</x:v>
      </x:c>
    </x:row>
  </x:sheetData>
  <x:pageMargins left="0.7" right="0.7" top="0.75" bottom="0.75" header="0.3" footer="0.3"/>
</x:worksheet>
</file>