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ummary " sheetId="1" r:id="rId1"/>
    <sheet name="Ownership" sheetId="2" r:id="rId2"/>
    <sheet name="Management Control" sheetId="3" r:id="rId3"/>
    <sheet name="3 Board Members " sheetId="4" r:id="rId4"/>
    <sheet name="4 Executive Committe " sheetId="5" r:id="rId5"/>
    <sheet name="5 Staff List " sheetId="6" r:id="rId6"/>
    <sheet name="Employment Equity" sheetId="7" r:id="rId7"/>
    <sheet name="Skills Development " sheetId="8" r:id="rId8"/>
    <sheet name="Category A" sheetId="9" r:id="rId9"/>
    <sheet name="Category BCDE" sheetId="10" r:id="rId10"/>
    <sheet name="Category BCD(Hcount)" sheetId="11" r:id="rId11"/>
    <sheet name="Learner summary " sheetId="12" r:id="rId12"/>
    <sheet name="Category F&amp;G" sheetId="13" r:id="rId13"/>
    <sheet name="13 EMP201" sheetId="14" r:id="rId14"/>
    <sheet name="7 TMPS " sheetId="15" r:id="rId15"/>
    <sheet name="Procurement Scorecard" sheetId="16" r:id="rId16"/>
    <sheet name="Imports " sheetId="17" r:id="rId17"/>
    <sheet name="ED &amp; SD" sheetId="18" r:id="rId18"/>
    <sheet name="SED" sheetId="19" r:id="rId19"/>
    <sheet name="Full Scorecard" sheetId="20" r:id="rId20"/>
    <sheet name="NPAT Calculation" sheetId="21" r:id="rId21"/>
    <sheet name=" Yes Targets Calc" sheetId="22" r:id="rId22"/>
  </sheets>
  <definedNames>
    <definedName name="_xlnm._FilterDatabase" localSheetId="3" hidden="1">'3 Board Members '!A2:H12</definedName>
    <definedName name="_xlnm._FilterDatabase" localSheetId="4" hidden="1">'4 Executive Committe '!A2:F10</definedName>
    <definedName name="_xlnm._FilterDatabase" localSheetId="5" hidden="1">'5 Staff List '!A3:AC995</definedName>
    <definedName name="_xlnm._FilterDatabase" localSheetId="8" hidden="1">'Category A'!A3:AB27</definedName>
    <definedName name="_xlnm._FilterDatabase" localSheetId="10" hidden="1">'Category BCD(Hcount)'!A3:U586</definedName>
    <definedName name="_xlnm._FilterDatabase" localSheetId="9" hidden="1">'Category BCDE'!A3:N574</definedName>
    <definedName name="_xlnm._FilterDatabase" localSheetId="12" hidden="1">'Category F&amp;G'!A2:N6940</definedName>
    <definedName name="_xlnm._FilterDatabase" localSheetId="19" hidden="1">'Full Scorecard'!#REF!</definedName>
    <definedName name="_xlnm._FilterDatabase" localSheetId="15" hidden="1">'Procurement Scorecard'!A15:AA195</definedName>
  </definedNames>
</workbook>
</file>

<file path=xl/comments7.xml><?xml version="1.0" encoding="utf-8"?>
<comments xmlns="http://schemas.openxmlformats.org/spreadsheetml/2006/main">
  <authors>
    <author>ORATILOE</author>
  </authors>
  <commentList>
    <comment ref="H29" authorId="0">
      <text>
        <t xml:space="preserve">ORATILOE:
All employees at this occupational level.</t>
      </text>
    </comment>
    <comment ref="H58" authorId="0">
      <text>
        <t xml:space="preserve">ORATILOE:
All employees at this occupational level.</t>
      </text>
    </comment>
    <comment ref="H87" authorId="0">
      <text>
        <t xml:space="preserve">ORATILOE:
All employees at this occupational level.</t>
      </text>
    </comment>
    <comment ref="H118" authorId="0">
      <text>
        <t xml:space="preserve">ORATILOE:
All employees at this occupational level.</t>
      </text>
    </comment>
    <comment ref="H147" authorId="0">
      <text>
        <t xml:space="preserve">ORATILOE:
All employees at this occupational level.</t>
      </text>
    </comment>
    <comment ref="H176" authorId="0">
      <text>
        <t xml:space="preserve">ORATILOE:
All employees at this occupational level.</t>
      </text>
    </comment>
    <comment ref="B204" authorId="0">
      <text>
        <t xml:space="preserve">ORATILOE:
Qualifying disabled africans, indians &amp; coloureds </t>
      </text>
    </comment>
    <comment ref="B205" authorId="0">
      <text>
        <t xml:space="preserve">ORATILOE:
Total staff complement </t>
      </text>
    </comment>
  </commentList>
</comments>
</file>

<file path=xl/comments8.xml><?xml version="1.0" encoding="utf-8"?>
<comments xmlns="http://schemas.openxmlformats.org/spreadsheetml/2006/main">
  <authors>
    <author>ORATILOE</author>
  </authors>
  <commentList>
    <comment ref="H23" authorId="0">
      <text>
        <t xml:space="preserve">ORATILOE:
All employees at this occupational level.</t>
      </text>
    </comment>
    <comment ref="H52" authorId="0">
      <text>
        <t xml:space="preserve">ORATILOE:
All employees at this occupational level.</t>
      </text>
    </comment>
    <comment ref="H81" authorId="0">
      <text>
        <t xml:space="preserve">ORATILOE:
All employees at this occupational level.</t>
      </text>
    </comment>
  </commentList>
</comments>
</file>

<file path=xl/comments15.xml><?xml version="1.0" encoding="utf-8"?>
<comments xmlns="http://schemas.openxmlformats.org/spreadsheetml/2006/main">
  <authors>
    <author>Angela</author>
  </authors>
  <commentList>
    <comment ref="B4" authorId="0">
      <text>
        <t xml:space="preserve">Angela:
Raw material, labour, plant overhead, distribution and warehousing.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6" formatCode="&quot;R&quot;#,##0;[Red]\-&quot;R&quot;#,##0"/>
    <numFmt numFmtId="8" formatCode="&quot;R&quot;#,##0.00;[Red]\-&quot;R&quot;#,##0.00"/>
    <numFmt numFmtId="43" formatCode="_-* #,##0.00_-;\-* #,##0.00_-;_-* &quot;-&quot;??_-;_-@_-"/>
    <numFmt numFmtId="44" formatCode="_-&quot;R&quot;* #,##0.00_-;\-&quot;R&quot;* #,##0.00_-;_-&quot;R&quot;* &quot;-&quot;??_-;_-@_-"/>
    <numFmt numFmtId="56" formatCode="&quot;上午/下午 &quot;hh&quot;時&quot;mm&quot;分&quot;ss&quot;秒 &quot;"/>
    <numFmt numFmtId="164" formatCode="_ * #,##0.00_ ;_ * \-#,##0.00_ ;_ * &quot;-&quot;??_ ;_ @_ "/>
    <numFmt numFmtId="165" formatCode="0_ ;\-0\ "/>
    <numFmt numFmtId="166" formatCode="_-* #,##0_-;\-* #,##0_-;_-* &quot;-&quot;??_-;_-@_-"/>
    <numFmt numFmtId="167" formatCode="_ &quot;R&quot;\ * #,##0.00_ ;_ &quot;R&quot;\ * \-#,##0.00_ ;_ &quot;R&quot;\ * &quot;-&quot;??_ ;_ @_ "/>
    <numFmt numFmtId="168" formatCode="_(* #,##0.0000_);_(* \(#,##0.0000\);_(* &quot;-&quot;??_);_(@_)"/>
    <numFmt numFmtId="169" formatCode="&quot;R&quot;#,##0.00"/>
    <numFmt numFmtId="170" formatCode="[$-1C09]dd\ mmmm\ yyyy;@"/>
    <numFmt numFmtId="171" formatCode="#,##0_ ;\-#,##0\ "/>
    <numFmt numFmtId="172" formatCode="_ * #,##0_ ;_ * \-#,##0_ ;_ * &quot;-&quot;_ ;_ @_ "/>
    <numFmt numFmtId="173" formatCode="_ * #,##0.00_)_£_ ;_ * \(#,##0.00\)_£_ ;_ * &quot;-&quot;??_)_£_ ;_ @_ "/>
    <numFmt numFmtId="174" formatCode="[$-409]d\-mmm;@"/>
    <numFmt numFmtId="175" formatCode="&quot;Z$&quot;#,##0.00_);[Red]\(&quot;Z$&quot;#,##0.00\)"/>
    <numFmt numFmtId="176" formatCode="#,##0.0_);\(#,##0.0\);\-\-_)"/>
    <numFmt numFmtId="177" formatCode="#,##0_);\(#,##0\);\-\-_)"/>
    <numFmt numFmtId="178" formatCode="#,##0.0_);\(#,##0.0\);\-\-"/>
    <numFmt numFmtId="179" formatCode="#,##0\ &quot;bps&quot;_);\(#,##0\ &quot;bps&quot;\);\-\-_)"/>
    <numFmt numFmtId="180" formatCode="0_);\(0\);0;* @_)"/>
    <numFmt numFmtId="181" formatCode="#,##0_);[Red]\(#,##0\);\-\ _)"/>
    <numFmt numFmtId="182" formatCode="dd\ mmm\ yy;&quot;nm &quot;;&quot;nm &quot;"/>
    <numFmt numFmtId="183" formatCode="#,##0.0&quot; days&quot;_);\(#,##0.0&quot; days&quot;\);\-\-_);* @_)"/>
    <numFmt numFmtId="184" formatCode="#,##0.0,,_);\(#,##0.0,,\);\-\-_);* @_)"/>
    <numFmt numFmtId="185" formatCode="0.0\x;&quot;nm&quot;_x;&quot;nm&quot;_x;* @_x"/>
    <numFmt numFmtId="186" formatCode="0.00\x;&quot;nm&quot;_x;&quot;nm&quot;_x;* @_x"/>
    <numFmt numFmtId="187" formatCode="#,##0_);\(#,##0\);\-_)"/>
    <numFmt numFmtId="188" formatCode="0%_);\(0%\);\-\-??;* @_%_)"/>
    <numFmt numFmtId="189" formatCode="0.0%_);\(0.0%\);\-\-??;* @_%_)"/>
    <numFmt numFmtId="190" formatCode="#,##0.00_);\(#,##0.00\);\-\-_);* @_)"/>
    <numFmt numFmtId="191" formatCode="0_)"/>
    <numFmt numFmtId="192" formatCode="#,##0.0,_);\(#,##0.0,\);\-\-_);* @_)"/>
    <numFmt numFmtId="193" formatCode="0&quot; years&quot;_);&quot;nm&quot;_);0&quot; years&quot;;* @_)"/>
    <numFmt numFmtId="194" formatCode="_ * #,##0_)_£_ ;_ * \(#,##0\)_£_ ;_ * &quot;-&quot;_)_£_ ;_ @_ "/>
    <numFmt numFmtId="195" formatCode="_ * #,##0.00_)&quot;£&quot;_ ;_ * \(#,##0.00\)&quot;£&quot;_ ;_ * &quot;-&quot;??_)&quot;£&quot;_ ;_ @_ "/>
    <numFmt numFmtId="196" formatCode="&quot;M&quot;#,##0.00_);[Red]\(&quot;M&quot;#,##0.00\)"/>
    <numFmt numFmtId="197" formatCode="_(* #,##0_);_(* \(#,##0\);_(* &quot;-&quot;??_);_(@_)"/>
    <numFmt numFmtId="198" formatCode="0.0"/>
    <numFmt numFmtId="199" formatCode="[$-409]d\-mmm\-yy;@"/>
    <numFmt numFmtId="200" formatCode="[$-409]dd\-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Relationship Id="rId2" Type="http://schemas.openxmlformats.org/officeDocument/2006/relationships/comments" Target="../comments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file:///E: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2">
      <c r="A2" t="str">
        <v xml:space="preserve">Internal Scorecard </v>
      </c>
      <c r="G2" t="str">
        <v>B-BBEE Status</v>
      </c>
      <c r="H2" t="str">
        <v>Qualification</v>
      </c>
      <c r="I2" t="str">
        <v>B-BBEE Level</v>
      </c>
    </row>
    <row r="3">
      <c r="A3" t="str">
        <v>Ownership</v>
      </c>
      <c r="B3">
        <f>Ownership!B12</f>
        <v>25</v>
      </c>
      <c r="C3">
        <f>Ownership!E12</f>
        <v>15.98406374501992</v>
      </c>
      <c r="G3" t="str">
        <v>Level One Contributor</v>
      </c>
      <c r="H3" t="str">
        <v xml:space="preserve">≥100 points </v>
      </c>
      <c r="I3">
        <v>1.35</v>
      </c>
    </row>
    <row r="4">
      <c r="A4" t="str">
        <v>Management Control</v>
      </c>
      <c r="B4">
        <f>'Management Control'!C18</f>
        <v>9</v>
      </c>
      <c r="C4" t="e">
        <f>'Management Control'!E18</f>
        <v>#DIV/0!</v>
      </c>
      <c r="G4" t="str">
        <v>Level Two Contributor</v>
      </c>
      <c r="H4" t="str">
        <v>≥95 but &lt;100 points</v>
      </c>
      <c r="I4">
        <v>1.25</v>
      </c>
    </row>
    <row r="5">
      <c r="A5" t="str">
        <v xml:space="preserve">Employment Equity </v>
      </c>
      <c r="B5">
        <v>10</v>
      </c>
      <c r="C5" t="e">
        <f>'Employment Equity'!E22</f>
        <v>#DIV/0!</v>
      </c>
      <c r="G5" t="str">
        <v>Level Three Contributor</v>
      </c>
      <c r="H5" t="str">
        <v xml:space="preserve">≥90 but &lt; 95 </v>
      </c>
      <c r="I5">
        <v>1.1</v>
      </c>
    </row>
    <row r="6">
      <c r="A6" t="str">
        <v>Skills Development</v>
      </c>
      <c r="B6">
        <f>'Skills Development '!C17</f>
        <v>20</v>
      </c>
      <c r="C6" t="e">
        <f>'Skills Development '!E17</f>
        <v>#DIV/0!</v>
      </c>
      <c r="G6" t="str">
        <v>Level Four Contributor</v>
      </c>
      <c r="H6" t="str">
        <v>≥80 but &lt;90</v>
      </c>
      <c r="I6">
        <v>1</v>
      </c>
    </row>
    <row r="7">
      <c r="A7" t="str">
        <v xml:space="preserve">Preferential Procurement </v>
      </c>
      <c r="B7">
        <f>'Procurement Scorecard'!C12</f>
        <v>27</v>
      </c>
      <c r="C7">
        <f>'Procurement Scorecard'!E12</f>
        <v>20</v>
      </c>
      <c r="G7" t="str">
        <v>Level Five Contributor</v>
      </c>
      <c r="H7" t="str">
        <v>≥75 but 80</v>
      </c>
      <c r="I7">
        <v>0.8</v>
      </c>
    </row>
    <row r="8">
      <c r="A8" t="str">
        <v xml:space="preserve">Enterprise Development </v>
      </c>
      <c r="B8">
        <v>15</v>
      </c>
      <c r="C8" t="e">
        <f>'ED &amp; SD'!E17</f>
        <v>#DIV/0!</v>
      </c>
      <c r="G8" t="str">
        <v>Level Six Contributor</v>
      </c>
      <c r="H8" t="str">
        <v>≥70 but &lt;75</v>
      </c>
      <c r="I8">
        <v>0.6</v>
      </c>
    </row>
    <row r="9">
      <c r="A9" t="str">
        <v xml:space="preserve">Socio Economic Development </v>
      </c>
      <c r="B9">
        <f>SED!C7</f>
        <v>5</v>
      </c>
      <c r="C9" t="e">
        <f>SED!E7</f>
        <v>#DIV/0!</v>
      </c>
      <c r="G9" t="str">
        <v>Level Seven Contributor</v>
      </c>
      <c r="H9" t="str">
        <v xml:space="preserve">≥55 but &lt;70 </v>
      </c>
      <c r="I9">
        <v>0.5</v>
      </c>
    </row>
    <row r="10">
      <c r="A10" t="str">
        <v xml:space="preserve">Total </v>
      </c>
      <c r="B10">
        <f>SUM(B3:B9)</f>
        <v>111</v>
      </c>
      <c r="C10" t="e">
        <f>SUM(C3:C9)</f>
        <v>#DIV/0!</v>
      </c>
      <c r="G10" t="str">
        <v>Level Eight Contributor</v>
      </c>
      <c r="H10" t="str">
        <v xml:space="preserve">≥40 but &lt;55 </v>
      </c>
      <c r="I10">
        <v>0.1</v>
      </c>
    </row>
    <row r="11">
      <c r="G11" t="str">
        <v>Non-Compliant Contributor</v>
      </c>
      <c r="H11" t="str">
        <v xml:space="preserve">&lt;40 </v>
      </c>
      <c r="I11">
        <v>0</v>
      </c>
    </row>
  </sheetData>
  <mergeCells count="1">
    <mergeCell ref="A2:C2"/>
  </mergeCells>
  <pageMargins left="0.7" right="0.7" top="0.75" bottom="0.75" header="0.3" footer="0.3"/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 rightToLeft="0"/>
  </sheetViews>
  <sheetData>
    <row r="3">
      <c r="A3" t="str">
        <v>Indicator</v>
      </c>
      <c r="B3" t="str">
        <v>Weighting points</v>
      </c>
      <c r="C3" t="str">
        <v>Targets</v>
      </c>
      <c r="D3" t="str">
        <v>Verified level</v>
      </c>
      <c r="E3" t="str">
        <v>Entity score</v>
      </c>
      <c r="L3" t="str">
        <v xml:space="preserve">Required Documents </v>
      </c>
      <c r="M3" t="str">
        <v>Checklist - Yes/No</v>
      </c>
      <c r="N3" t="str">
        <v xml:space="preserve">Notes </v>
      </c>
    </row>
    <row r="4">
      <c r="A4" t="str">
        <v>Black people</v>
      </c>
      <c r="B4">
        <v>4</v>
      </c>
      <c r="C4" t="str">
        <v>25+1%</v>
      </c>
      <c r="D4">
        <f>H22</f>
        <v>0.1255</v>
      </c>
      <c r="E4">
        <f>IF(C4=0,0,MIN(D4/25.1%*B4,B4))</f>
        <v>3.9840637450199203</v>
      </c>
      <c r="L4" t="str">
        <v>Shareholder Agreement / MOU</v>
      </c>
    </row>
    <row r="5">
      <c r="A5" t="str">
        <v>Black women</v>
      </c>
      <c r="B5">
        <v>2</v>
      </c>
      <c r="C5">
        <v>0.1</v>
      </c>
      <c r="D5">
        <f>I22</f>
        <v>0.06</v>
      </c>
      <c r="E5">
        <f>IF(C5=0,0,MIN(D5/C5*B5,B5))</f>
        <v>0</v>
      </c>
      <c r="L5" t="str">
        <v xml:space="preserve">Share certificates </v>
      </c>
    </row>
    <row r="6">
      <c r="A6" t="str">
        <v>Black people</v>
      </c>
      <c r="B6">
        <v>4</v>
      </c>
      <c r="C6">
        <v>0.25</v>
      </c>
      <c r="D6">
        <v>0.2</v>
      </c>
      <c r="E6">
        <f>IF(C6=0,0,MIN(D6/C6*B6,B6))</f>
        <v>4</v>
      </c>
      <c r="L6" t="str">
        <v xml:space="preserve">Share register </v>
      </c>
    </row>
    <row r="7">
      <c r="A7" t="str">
        <v>Black women</v>
      </c>
      <c r="B7">
        <v>2</v>
      </c>
      <c r="C7">
        <v>0.1</v>
      </c>
      <c r="D7">
        <v>0.075</v>
      </c>
      <c r="E7">
        <f>IF(C7=0,0,MIN(D7/C7*B7,B7))</f>
        <v>0</v>
      </c>
      <c r="L7" t="str">
        <v xml:space="preserve">Ownership Organogram </v>
      </c>
    </row>
    <row r="8">
      <c r="A8" t="str">
        <v>ESOP,Black designed groups,B-BEE Schemes</v>
      </c>
      <c r="B8">
        <v>3</v>
      </c>
      <c r="C8">
        <v>0.03</v>
      </c>
      <c r="D8">
        <f>J22</f>
        <v>0.021</v>
      </c>
      <c r="E8">
        <f>IF(C8=0,0,MIN(D8/C8*B8,B8))</f>
        <v>0</v>
      </c>
      <c r="L8" t="str">
        <v xml:space="preserve">Auditor Letter confirming shareholding </v>
      </c>
    </row>
    <row r="9">
      <c r="L9" t="str">
        <v xml:space="preserve">Onweship fulfilment /Letter of outstanding debt </v>
      </c>
    </row>
    <row r="10">
      <c r="A10" t="str">
        <v>New entrants</v>
      </c>
      <c r="B10">
        <v>2</v>
      </c>
      <c r="C10">
        <v>0.02</v>
      </c>
      <c r="D10">
        <f>K22</f>
        <v>0.065</v>
      </c>
      <c r="E10">
        <f>IF(C10=0,0,MIN(D10/C10*B10,B10))</f>
        <v>0</v>
      </c>
    </row>
    <row r="11">
      <c r="A11" t="str">
        <v>Net value</v>
      </c>
      <c r="B11">
        <v>8</v>
      </c>
      <c r="C11">
        <v>0.25</v>
      </c>
      <c r="D11">
        <v>0.15</v>
      </c>
      <c r="E11">
        <f>IF(C11=0,0,MIN(D11/C11*B11,B11))</f>
        <v>8</v>
      </c>
      <c r="F11" t="str">
        <v>3.2 points sub minimum</v>
      </c>
    </row>
    <row r="12">
      <c r="B12">
        <f>SUM(B4:B11)</f>
        <v>25</v>
      </c>
      <c r="E12">
        <f>SUM(E4:E11)</f>
        <v>15.98406374501992</v>
      </c>
    </row>
    <row r="15">
      <c r="D15" t="str">
        <v xml:space="preserve">Shareholder information </v>
      </c>
      <c r="H15" t="str">
        <v xml:space="preserve">Effective Shareholding </v>
      </c>
      <c r="L15" t="str">
        <v xml:space="preserve">Sampled </v>
      </c>
    </row>
    <row r="16">
      <c r="A16" t="str">
        <v xml:space="preserve">Shareholder Name </v>
      </c>
      <c r="B16" t="str">
        <v>Shares</v>
      </c>
      <c r="C16" t="str">
        <v>Share %</v>
      </c>
      <c r="D16" t="str">
        <v>Black %</v>
      </c>
      <c r="E16" t="str">
        <v>Black Women %</v>
      </c>
      <c r="F16" t="str">
        <v>Schemes &amp; BDG %</v>
      </c>
      <c r="G16" t="str">
        <v xml:space="preserve">New Entrants </v>
      </c>
      <c r="H16" t="str">
        <v>Black %</v>
      </c>
      <c r="I16" t="str">
        <v>Black Women %</v>
      </c>
      <c r="J16" t="str">
        <v>Schemes &amp; BDG %</v>
      </c>
      <c r="K16" t="str">
        <v>New Entrants %</v>
      </c>
      <c r="L16" t="str">
        <v xml:space="preserve">Certified Id </v>
      </c>
      <c r="M16" t="str">
        <v>BEE affidavit / Shareholder Certificate</v>
      </c>
      <c r="N16" t="str">
        <v xml:space="preserve">Share Register if applicable </v>
      </c>
      <c r="O16" t="str">
        <v xml:space="preserve">Black entrant affidavit </v>
      </c>
    </row>
    <row r="17">
      <c r="A17" t="str">
        <v>Golden Test Shareholder A</v>
      </c>
      <c r="B17">
        <v>500000</v>
      </c>
      <c r="C17">
        <v>0.5</v>
      </c>
      <c r="D17">
        <v>0.15</v>
      </c>
      <c r="E17">
        <v>0.08</v>
      </c>
      <c r="F17">
        <v>0.03</v>
      </c>
      <c r="G17">
        <v>0.1</v>
      </c>
      <c r="H17">
        <f>$C$17*D17</f>
        <v>0.075</v>
      </c>
      <c r="I17">
        <f>$C$17*E17</f>
        <v>0.04</v>
      </c>
      <c r="J17">
        <f>$C$17*F17</f>
        <v>0.015</v>
      </c>
      <c r="K17">
        <f>$C$17*G17</f>
        <v>0.05</v>
      </c>
    </row>
    <row r="18">
      <c r="A18" t="str">
        <v>Golden Test Shareholder B</v>
      </c>
      <c r="B18">
        <v>300000</v>
      </c>
      <c r="C18">
        <v>0.3</v>
      </c>
      <c r="D18">
        <v>0.12</v>
      </c>
      <c r="E18">
        <v>0.05</v>
      </c>
      <c r="F18">
        <v>0.02</v>
      </c>
      <c r="G18">
        <v>0.05</v>
      </c>
      <c r="H18">
        <f>$C$18*D18</f>
        <v>0.036</v>
      </c>
      <c r="I18">
        <f>$C$18*E18</f>
        <v>0.015</v>
      </c>
      <c r="J18">
        <f>$C$18*F18</f>
        <v>0.006</v>
      </c>
      <c r="K18">
        <f>$C$18*G18</f>
        <v>0.015</v>
      </c>
    </row>
    <row r="19">
      <c r="A19" t="str">
        <v>Golden Test Shareholder C</v>
      </c>
      <c r="B19">
        <v>200000</v>
      </c>
      <c r="C19">
        <v>0.2</v>
      </c>
      <c r="D19">
        <v>0.0725</v>
      </c>
      <c r="E19">
        <v>0.025</v>
      </c>
      <c r="F19">
        <v>0</v>
      </c>
      <c r="G19">
        <v>0</v>
      </c>
      <c r="H19">
        <f>$C$19*D19</f>
        <v>0.014499999999999999</v>
      </c>
      <c r="I19">
        <f>$C$19*E19</f>
        <v>0.005000000000000001</v>
      </c>
      <c r="J19">
        <f>$C$19*F19</f>
        <v>0</v>
      </c>
      <c r="K19">
        <f>$C$19*G19</f>
        <v>0</v>
      </c>
    </row>
    <row r="20">
      <c r="H20">
        <f>$C$20*D20</f>
        <v>0</v>
      </c>
      <c r="I20">
        <f>$C$20*E20</f>
        <v>0</v>
      </c>
      <c r="J20">
        <f>$C$20*F20</f>
        <v>0</v>
      </c>
      <c r="K20">
        <f>$C$20*G20</f>
        <v>0</v>
      </c>
    </row>
    <row r="21">
      <c r="H21">
        <f>$C$21*D21</f>
        <v>0</v>
      </c>
      <c r="I21">
        <f>$C$21*E21</f>
        <v>0</v>
      </c>
      <c r="J21">
        <f>$C$21*F21</f>
        <v>0</v>
      </c>
      <c r="K21">
        <f>$C$21*G21</f>
        <v>0</v>
      </c>
    </row>
    <row r="22">
      <c r="A22" t="str">
        <v xml:space="preserve">Total </v>
      </c>
      <c r="B22">
        <f>SUM(B17:B21)</f>
        <v>1000000</v>
      </c>
      <c r="C22">
        <f>SUM(C17:C21)</f>
        <v>1</v>
      </c>
      <c r="H22">
        <f>SUM(H17:H21)</f>
        <v>0.1255</v>
      </c>
      <c r="I22">
        <f>SUM(I17:I21)</f>
        <v>0.06</v>
      </c>
      <c r="J22">
        <f>SUM(J17:J21)</f>
        <v>0.021</v>
      </c>
      <c r="K22">
        <f>SUM(K17:K21)</f>
        <v>0.065</v>
      </c>
    </row>
  </sheetData>
  <mergeCells count="9">
    <mergeCell ref="L15:O15"/>
    <mergeCell ref="D15:G15"/>
    <mergeCell ref="H15:K15"/>
    <mergeCell ref="F4:F10"/>
    <mergeCell ref="A8:A9"/>
    <mergeCell ref="B8:B9"/>
    <mergeCell ref="C8:C9"/>
    <mergeCell ref="D8:D9"/>
    <mergeCell ref="E8:E9"/>
  </mergeCells>
  <pageMargins left="0.7" right="0.7" top="0.75" bottom="0.75" header="0.3" footer="0.3"/>
  <ignoredErrors>
    <ignoredError numberStoredAsText="1" sqref="A1:O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O20"/>
  <sheetViews>
    <sheetView workbookViewId="0" rightToLeft="0"/>
  </sheetViews>
  <sheetData>
    <row r="3">
      <c r="A3" t="str">
        <v xml:space="preserve">Measurement Category &amp; Criteria </v>
      </c>
      <c r="B3" t="str">
        <v>Amended Codes Scorecard</v>
      </c>
      <c r="C3" t="str">
        <v xml:space="preserve">Target Points </v>
      </c>
      <c r="D3" t="str">
        <v>Achieved  %</v>
      </c>
      <c r="E3" t="str">
        <v>Points Awarded</v>
      </c>
      <c r="M3" t="str">
        <v xml:space="preserve">Required Documents </v>
      </c>
      <c r="N3" t="str">
        <v>Checklist - Yes/No</v>
      </c>
      <c r="O3" t="str">
        <v xml:space="preserve">Notes </v>
      </c>
    </row>
    <row r="4">
      <c r="F4" t="str">
        <v>Black Board Members</v>
      </c>
      <c r="G4">
        <v>0</v>
      </c>
      <c r="M4" t="str">
        <v>COR-39 - latest</v>
      </c>
    </row>
    <row r="5">
      <c r="A5" t="str">
        <v xml:space="preserve">excercisable voting rights of black board members as a % of all board members </v>
      </c>
      <c r="B5">
        <v>0.5</v>
      </c>
      <c r="C5">
        <v>2</v>
      </c>
      <c r="D5" t="e">
        <f>G4/G5</f>
        <v>#DIV/0!</v>
      </c>
      <c r="E5" t="e">
        <f>MIN(D5/B5*C5,C5)</f>
        <v>#DIV/0!</v>
      </c>
      <c r="F5" t="str">
        <v>Total Board Members</v>
      </c>
      <c r="G5">
        <v>0</v>
      </c>
      <c r="M5" t="str">
        <v>Management Organogram</v>
      </c>
    </row>
    <row r="6">
      <c r="M6" t="str">
        <v>Latest Grading Policy</v>
      </c>
    </row>
    <row r="7">
      <c r="A7" t="str">
        <v xml:space="preserve">excercisable voting rights of black female board members as a % of all board members </v>
      </c>
      <c r="B7">
        <v>0.25</v>
      </c>
      <c r="C7">
        <v>1</v>
      </c>
      <c r="D7" t="e">
        <f>G7/G8</f>
        <v>#DIV/0!</v>
      </c>
      <c r="E7" t="e">
        <f>MIN(D7/B7*C7,C7)</f>
        <v>#DIV/0!</v>
      </c>
      <c r="F7" t="str">
        <v>Black Female Board Members</v>
      </c>
      <c r="G7">
        <v>0</v>
      </c>
      <c r="M7" t="str">
        <v xml:space="preserve">Latest minutes for board meetings </v>
      </c>
    </row>
    <row r="8">
      <c r="F8" t="str">
        <v>Total Board Members</v>
      </c>
      <c r="G8">
        <v>0</v>
      </c>
      <c r="M8" t="str">
        <v>EEA2 Forms and Proof of Submission</v>
      </c>
    </row>
    <row r="9">
      <c r="A9" t="str">
        <v xml:space="preserve">Black Executive Directors as a % of all executive directors </v>
      </c>
      <c r="B9">
        <v>0.5</v>
      </c>
      <c r="C9">
        <v>2</v>
      </c>
      <c r="D9" t="e">
        <f>G10/G11</f>
        <v>#DIV/0!</v>
      </c>
      <c r="E9" t="e">
        <f>MIN(D9/B9*C9,C9)</f>
        <v>#DIV/0!</v>
      </c>
      <c r="M9" t="str">
        <v>EEA4 Forms and Proof of Submission</v>
      </c>
    </row>
    <row r="10">
      <c r="F10" t="str">
        <v>Black Executive Directors</v>
      </c>
      <c r="G10">
        <v>0</v>
      </c>
      <c r="M10" t="str">
        <v>Acknowlegement Letter</v>
      </c>
    </row>
    <row r="11">
      <c r="A11" t="str">
        <v xml:space="preserve">Black female Executive Directors as a % of all executive directors </v>
      </c>
      <c r="B11">
        <v>0.25</v>
      </c>
      <c r="C11">
        <v>1</v>
      </c>
      <c r="D11" t="e">
        <f>G13/G14</f>
        <v>#DIV/0!</v>
      </c>
      <c r="E11" t="e">
        <f>MIN(D11/B11*C11,C11)</f>
        <v>#DIV/0!</v>
      </c>
      <c r="F11" t="str">
        <v xml:space="preserve">Total Executive Directors </v>
      </c>
      <c r="G11">
        <v>0</v>
      </c>
    </row>
    <row r="13">
      <c r="A13" t="str">
        <v xml:space="preserve">Other Executive Management </v>
      </c>
      <c r="F13" t="str">
        <v>Black Female Executive Directors</v>
      </c>
      <c r="G13">
        <v>0</v>
      </c>
    </row>
    <row r="14">
      <c r="A14" t="str">
        <v xml:space="preserve">Black other Executive Managers as a % of all executive directors </v>
      </c>
      <c r="B14">
        <v>0.6</v>
      </c>
      <c r="C14">
        <v>2</v>
      </c>
      <c r="D14" t="e">
        <f>G16/G17</f>
        <v>#DIV/0!</v>
      </c>
      <c r="E14" t="e">
        <f>MIN(D14/B14*C14,C14)</f>
        <v>#DIV/0!</v>
      </c>
      <c r="F14" t="str">
        <v>Total Executive Directors</v>
      </c>
      <c r="G14">
        <v>0</v>
      </c>
    </row>
    <row r="16">
      <c r="A16" t="str">
        <v xml:space="preserve">Black Female  other Executive Managers as a % of all executive directors </v>
      </c>
      <c r="B16">
        <v>0.3</v>
      </c>
      <c r="C16">
        <v>1</v>
      </c>
      <c r="D16" t="e">
        <f>G19/G20</f>
        <v>#DIV/0!</v>
      </c>
      <c r="E16" t="e">
        <f>MIN(D16/B16*C16,C16)</f>
        <v>#DIV/0!</v>
      </c>
      <c r="F16" t="str">
        <v>Black Executive Management</v>
      </c>
      <c r="G16">
        <v>0</v>
      </c>
    </row>
    <row r="17">
      <c r="F17" t="str">
        <v>Total Executive Management</v>
      </c>
      <c r="G17">
        <v>0</v>
      </c>
    </row>
    <row r="18">
      <c r="C18">
        <f>SUM(C5,C7,C9,C11,C16,C14)</f>
        <v>9</v>
      </c>
      <c r="E18" t="e">
        <f>E5+E7+E9+E11+E14+E16</f>
        <v>#DIV/0!</v>
      </c>
    </row>
    <row r="19">
      <c r="F19" t="str">
        <v>Black Executive Management</v>
      </c>
      <c r="G19">
        <v>0</v>
      </c>
    </row>
    <row r="20">
      <c r="F20" t="str">
        <v>Total Executive Management</v>
      </c>
      <c r="G20">
        <v>0</v>
      </c>
    </row>
  </sheetData>
  <mergeCells count="35">
    <mergeCell ref="D16:D17"/>
    <mergeCell ref="E16:E17"/>
    <mergeCell ref="A16:A17"/>
    <mergeCell ref="B16:B17"/>
    <mergeCell ref="C16:C17"/>
    <mergeCell ref="D11:D12"/>
    <mergeCell ref="E11:E12"/>
    <mergeCell ref="A14:A15"/>
    <mergeCell ref="B14:B15"/>
    <mergeCell ref="C14:C15"/>
    <mergeCell ref="D14:D15"/>
    <mergeCell ref="E14:E15"/>
    <mergeCell ref="A11:A12"/>
    <mergeCell ref="B11:B12"/>
    <mergeCell ref="C11:C12"/>
    <mergeCell ref="D7:D8"/>
    <mergeCell ref="E7:E8"/>
    <mergeCell ref="A9:A10"/>
    <mergeCell ref="B9:B10"/>
    <mergeCell ref="E9:E10"/>
    <mergeCell ref="C9:C10"/>
    <mergeCell ref="D9:D10"/>
    <mergeCell ref="A7:A8"/>
    <mergeCell ref="B7:B8"/>
    <mergeCell ref="C7:C8"/>
    <mergeCell ref="D3:D4"/>
    <mergeCell ref="E3:E4"/>
    <mergeCell ref="A5:A6"/>
    <mergeCell ref="B5:B6"/>
    <mergeCell ref="C5:C6"/>
    <mergeCell ref="D5:D6"/>
    <mergeCell ref="E5:E6"/>
    <mergeCell ref="A3:A4"/>
    <mergeCell ref="B3:B4"/>
    <mergeCell ref="C3:C4"/>
  </mergeCells>
  <pageMargins left="0.7" right="0.7" top="0.75" bottom="0.75" header="0.3" footer="0.3"/>
  <ignoredErrors>
    <ignoredError numberStoredAsText="1" sqref="A2:O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 rightToLeft="0"/>
  </sheetViews>
  <sheetData>
    <row r="1">
      <c r="I1" t="str">
        <v xml:space="preserve">Sampled </v>
      </c>
    </row>
    <row r="2">
      <c r="A2" t="str">
        <v xml:space="preserve">Board Member Name and Surname </v>
      </c>
      <c r="B2" t="str">
        <v xml:space="preserve">Executive/ Non Executive/ Independent Non Executive </v>
      </c>
      <c r="C2" t="str">
        <v xml:space="preserve">Gender </v>
      </c>
      <c r="D2" t="str">
        <v>Race</v>
      </c>
      <c r="E2" t="str">
        <v xml:space="preserve">Nationality </v>
      </c>
      <c r="F2" t="str">
        <v>Position</v>
      </c>
      <c r="G2" t="str">
        <v xml:space="preserve">Resignation Date </v>
      </c>
      <c r="H2" t="str">
        <v xml:space="preserve">Identity Number </v>
      </c>
      <c r="I2" t="str">
        <v>Certified ID</v>
      </c>
      <c r="J2" t="str">
        <v xml:space="preserve">EEA1 </v>
      </c>
      <c r="K2" t="str">
        <v xml:space="preserve">Employement Contract </v>
      </c>
      <c r="L2" t="str">
        <v>Director Consent/Acceptance to act as Directors</v>
      </c>
      <c r="M2" t="str">
        <v xml:space="preserve">Notes </v>
      </c>
    </row>
    <row r="16">
      <c r="A16" t="str">
        <v xml:space="preserve">Example </v>
      </c>
    </row>
    <row r="17">
      <c r="A17" t="str">
        <v xml:space="preserve">Board Member Name and Surname </v>
      </c>
      <c r="B17" t="str">
        <v xml:space="preserve">Executive/ Non Executive/ Independent Non Executive </v>
      </c>
      <c r="C17" t="str">
        <v xml:space="preserve">Gender </v>
      </c>
      <c r="D17" t="str">
        <v>Race</v>
      </c>
      <c r="E17" t="str">
        <v xml:space="preserve">Nationality </v>
      </c>
      <c r="F17" t="str">
        <v xml:space="preserve">Appoitment Date </v>
      </c>
      <c r="G17" t="str">
        <v xml:space="preserve">Resignation Date </v>
      </c>
      <c r="H17" t="str">
        <v xml:space="preserve">Identity Number </v>
      </c>
      <c r="I17" t="str">
        <v xml:space="preserve">Key definition </v>
      </c>
    </row>
    <row r="18">
      <c r="A18" t="str">
        <v xml:space="preserve">Skhumbuzo Sample </v>
      </c>
      <c r="B18" t="str">
        <v>Executive</v>
      </c>
      <c r="C18" t="str">
        <v xml:space="preserve">Male </v>
      </c>
      <c r="D18" t="str">
        <v xml:space="preserve">African </v>
      </c>
      <c r="E18" t="str">
        <v xml:space="preserve">South African </v>
      </c>
      <c r="F18">
        <v>42795</v>
      </c>
      <c r="G18" t="str">
        <v xml:space="preserve">Active </v>
      </c>
      <c r="H18">
        <v>84323422111</v>
      </c>
      <c r="I18" t="str">
        <v xml:space="preserve">Executive means active involved in the day to day running of the measured entity </v>
      </c>
    </row>
    <row r="19">
      <c r="B19" t="str">
        <v xml:space="preserve">Non Executive </v>
      </c>
      <c r="I19" t="str">
        <v>Both the Non Executive and Independent Non Executive aren't involved in the day to day running of the measured entity.</v>
      </c>
    </row>
  </sheetData>
  <autoFilter ref="A2:H12"/>
  <mergeCells count="2">
    <mergeCell ref="A16:I16"/>
    <mergeCell ref="I1:M1"/>
  </mergeCells>
  <pageMargins left="0.7" right="0.7" top="0.75" bottom="0.75" header="0.3" footer="0.3"/>
  <ignoredErrors>
    <ignoredError numberStoredAsText="1" sqref="A1:M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 rightToLeft="0"/>
  </sheetViews>
  <sheetData>
    <row r="1">
      <c r="G1" t="str">
        <v xml:space="preserve">Sampled </v>
      </c>
    </row>
    <row r="2">
      <c r="A2" t="str">
        <v xml:space="preserve">Name and Surname </v>
      </c>
      <c r="B2" t="str">
        <v xml:space="preserve">Executive Director / Executive Manager </v>
      </c>
      <c r="C2" t="str">
        <v xml:space="preserve">Gender </v>
      </c>
      <c r="D2" t="str">
        <v>Race</v>
      </c>
      <c r="E2" t="str">
        <v xml:space="preserve">Nationality </v>
      </c>
      <c r="F2" t="str">
        <v xml:space="preserve">Position/ Designation </v>
      </c>
      <c r="G2" t="str">
        <v xml:space="preserve">Certified ID </v>
      </c>
      <c r="H2" t="str">
        <v xml:space="preserve">Employment Contract </v>
      </c>
      <c r="I2" t="str">
        <v xml:space="preserve">Latest Payslip </v>
      </c>
      <c r="J2" t="str">
        <v xml:space="preserve">Notes </v>
      </c>
    </row>
    <row r="17">
      <c r="A17" t="str">
        <v xml:space="preserve">Example </v>
      </c>
    </row>
    <row r="18">
      <c r="A18" t="str">
        <v xml:space="preserve">Board Member Name and Surname </v>
      </c>
      <c r="B18" t="str">
        <v xml:space="preserve">Executive/ Non Executive/ Independent Non Executive </v>
      </c>
      <c r="C18" t="str">
        <v xml:space="preserve">Gender </v>
      </c>
      <c r="D18" t="str">
        <v>Race</v>
      </c>
      <c r="E18" t="str">
        <v xml:space="preserve">Nationality </v>
      </c>
      <c r="F18" t="str">
        <v xml:space="preserve">Position/ Designation </v>
      </c>
      <c r="G18" t="str">
        <v xml:space="preserve">Key definition </v>
      </c>
    </row>
    <row r="19">
      <c r="A19" t="str">
        <v xml:space="preserve">Skhumbuzo Sample </v>
      </c>
      <c r="B19" t="str">
        <v xml:space="preserve">Executive Director </v>
      </c>
      <c r="C19" t="str">
        <v xml:space="preserve">Male </v>
      </c>
      <c r="D19" t="str">
        <v xml:space="preserve">African </v>
      </c>
      <c r="E19" t="str">
        <v xml:space="preserve">South African </v>
      </c>
      <c r="F19" t="str">
        <v>CEO</v>
      </c>
      <c r="G19" t="str">
        <v xml:space="preserve">Executive Director - Member of both the Board of Directors and Executive Committee </v>
      </c>
    </row>
    <row r="20">
      <c r="A20" t="str">
        <v>Edward Sample 2</v>
      </c>
      <c r="B20" t="str">
        <v xml:space="preserve">Executive Manager </v>
      </c>
      <c r="C20" t="str">
        <v>Female</v>
      </c>
      <c r="D20" t="str">
        <v xml:space="preserve">Coloured </v>
      </c>
      <c r="E20" t="str">
        <v xml:space="preserve">South African </v>
      </c>
      <c r="F20" t="str">
        <v xml:space="preserve">CIO </v>
      </c>
      <c r="G20" t="str">
        <v xml:space="preserve">Executive Manager- member of the Executive Committee only, not part of the Board of Directors </v>
      </c>
    </row>
  </sheetData>
  <autoFilter ref="A2:F10"/>
  <mergeCells count="2">
    <mergeCell ref="A17:G17"/>
    <mergeCell ref="G1:J1"/>
  </mergeCells>
  <pageMargins left="0.7" right="0.7" top="0.75" bottom="0.75" header="0.3" footer="0.3"/>
  <ignoredErrors>
    <ignoredError numberStoredAsText="1" sqref="A1:J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888"/>
  <sheetViews>
    <sheetView workbookViewId="0" rightToLeft="0"/>
  </sheetViews>
  <sheetData>
    <row r="1">
      <c r="L1" t="str">
        <v>Senior Management</v>
      </c>
      <c r="R1" t="str">
        <v>Middle Management</v>
      </c>
      <c r="X1" t="str">
        <v>Junior Management</v>
      </c>
    </row>
    <row r="2">
      <c r="L2">
        <f>SUM(L4:L1048576)</f>
        <v>0</v>
      </c>
      <c r="M2">
        <f>SUM(M4:M1048576)</f>
        <v>0</v>
      </c>
      <c r="N2">
        <f>SUM(N4:N1048576)</f>
        <v>0</v>
      </c>
      <c r="O2">
        <f>SUM(O4:O1048576)</f>
        <v>0</v>
      </c>
      <c r="P2">
        <f>SUM(P4:P1048576)</f>
        <v>0</v>
      </c>
      <c r="Q2">
        <f>SUM(Q4:Q1048576)</f>
        <v>0</v>
      </c>
      <c r="R2">
        <f>SUM(R4:R1048576)</f>
        <v>0</v>
      </c>
      <c r="S2">
        <f>SUM(S4:S1048576)</f>
        <v>0</v>
      </c>
      <c r="T2">
        <f>SUM(T4:T1048576)</f>
        <v>0</v>
      </c>
      <c r="U2">
        <f>SUM(U4:U1048576)</f>
        <v>0</v>
      </c>
      <c r="V2">
        <f>SUM(V4:V1048576)</f>
        <v>0</v>
      </c>
      <c r="W2">
        <f>SUM(W4:W1048576)</f>
        <v>0</v>
      </c>
      <c r="X2">
        <f>SUM(X4:X1048576)</f>
        <v>0</v>
      </c>
      <c r="Y2">
        <f>SUM(Y4:Y1048576)</f>
        <v>0</v>
      </c>
      <c r="Z2">
        <f>SUM(Z4:Z1048576)</f>
        <v>0</v>
      </c>
      <c r="AA2">
        <f>SUM(AA4:AA1048576)</f>
        <v>0</v>
      </c>
      <c r="AB2">
        <f>SUM(AB4:AB1048576)</f>
        <v>0</v>
      </c>
      <c r="AC2">
        <f>SUM(AC4:AC1048576)</f>
        <v>0</v>
      </c>
      <c r="AD2" t="str">
        <v xml:space="preserve">Sampled </v>
      </c>
    </row>
    <row r="3">
      <c r="A3" t="str">
        <v xml:space="preserve">Employee Name </v>
      </c>
      <c r="B3" t="str">
        <v xml:space="preserve">Designation </v>
      </c>
      <c r="C3" t="str">
        <v xml:space="preserve">Gender </v>
      </c>
      <c r="D3" t="str">
        <v>Race</v>
      </c>
      <c r="E3" t="str">
        <v xml:space="preserve">Nationality </v>
      </c>
      <c r="F3" t="str">
        <v>Disability (Yes/No)</v>
      </c>
      <c r="G3" t="str">
        <v>Core/Specialised/Non Core</v>
      </c>
      <c r="H3" t="str">
        <v xml:space="preserve">Occupational Level </v>
      </c>
      <c r="I3" t="str">
        <v>Skilled/Semi Skilled</v>
      </c>
      <c r="J3" t="str">
        <v>Vacancies (Positions not occupied)</v>
      </c>
      <c r="L3" t="str">
        <v>AM</v>
      </c>
      <c r="M3" t="str">
        <v>CM</v>
      </c>
      <c r="N3" t="str">
        <v>IM</v>
      </c>
      <c r="O3" t="str">
        <v>AF</v>
      </c>
      <c r="P3" t="str">
        <v>CF</v>
      </c>
      <c r="Q3" t="str">
        <v>IF</v>
      </c>
      <c r="R3" t="str">
        <v>AM</v>
      </c>
      <c r="S3" t="str">
        <v>CM</v>
      </c>
      <c r="T3" t="str">
        <v>IM</v>
      </c>
      <c r="U3" t="str">
        <v>AF</v>
      </c>
      <c r="V3" t="str">
        <v>CF</v>
      </c>
      <c r="W3" t="str">
        <v>IF</v>
      </c>
      <c r="X3" t="str">
        <v>AM</v>
      </c>
      <c r="Y3" t="str">
        <v>CM</v>
      </c>
      <c r="Z3" t="str">
        <v>IM</v>
      </c>
      <c r="AA3" t="str">
        <v>AF</v>
      </c>
      <c r="AB3" t="str">
        <v>CF</v>
      </c>
      <c r="AC3" t="str">
        <v>IF</v>
      </c>
      <c r="AD3" t="str">
        <v>Certfied ID</v>
      </c>
      <c r="AE3" t="str">
        <v xml:space="preserve">Employement Contract </v>
      </c>
      <c r="AF3" t="str">
        <v>EEA1</v>
      </c>
      <c r="AG3" t="str">
        <v xml:space="preserve">Latest Payslip </v>
      </c>
      <c r="AH3" t="str">
        <v xml:space="preserve">Notes </v>
      </c>
    </row>
  </sheetData>
  <autoFilter ref="A3:AC995"/>
  <mergeCells count="4">
    <mergeCell ref="L1:Q1"/>
    <mergeCell ref="R1:W1"/>
    <mergeCell ref="X1:AC1"/>
    <mergeCell ref="AD2:AH2"/>
  </mergeCells>
  <pageMargins left="0.7" right="0.7" top="0.75" bottom="0.75" header="0.3" footer="0.3"/>
  <ignoredErrors>
    <ignoredError numberStoredAsText="1" sqref="A1:AJ88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2:BG206"/>
  <sheetViews>
    <sheetView workbookViewId="0" rightToLeft="0"/>
  </sheetViews>
  <sheetData>
    <row r="2">
      <c r="A2" t="str">
        <v xml:space="preserve">Measurement Category &amp; Criteria </v>
      </c>
      <c r="B2" t="str">
        <v xml:space="preserve">Target </v>
      </c>
      <c r="C2" t="str">
        <v xml:space="preserve">Available Points </v>
      </c>
      <c r="D2" t="str">
        <v>Achieved %</v>
      </c>
      <c r="E2" t="str">
        <v xml:space="preserve">Points Achieved </v>
      </c>
    </row>
    <row r="4">
      <c r="A4" t="str">
        <v>Senior Management</v>
      </c>
    </row>
    <row r="5">
      <c r="A5" t="str">
        <v>composition of Black employees in Senior Management as a % of all senior Management ( in line with EAP targets)</v>
      </c>
      <c r="B5">
        <v>0.6</v>
      </c>
      <c r="C5">
        <v>2</v>
      </c>
      <c r="D5" t="e">
        <f>E5/C5*B5</f>
        <v>#DIV/0!</v>
      </c>
      <c r="E5" t="e">
        <f>H50</f>
        <v>#DIV/0!</v>
      </c>
      <c r="L5" t="str">
        <v xml:space="preserve">Required Documenst </v>
      </c>
      <c r="M5" t="str">
        <v>Checklist- Yes/No</v>
      </c>
    </row>
    <row r="6">
      <c r="L6" t="str">
        <v>Latest Staff List ( must include race, gender, occupational level)</v>
      </c>
    </row>
    <row r="7">
      <c r="A7" t="str">
        <v>composition of Black Female employees in Senior Management as a % of all senior Management ( in line with EAP targets)</v>
      </c>
      <c r="B7">
        <v>0.3</v>
      </c>
      <c r="C7">
        <v>1</v>
      </c>
      <c r="D7" t="e">
        <f>E7/C7*B7</f>
        <v>#DIV/0!</v>
      </c>
      <c r="E7" t="e">
        <f>H79</f>
        <v>#DIV/0!</v>
      </c>
      <c r="L7" t="str">
        <v>Latest payroll ( must include race, gender, occupational level)</v>
      </c>
    </row>
    <row r="8">
      <c r="L8" t="str">
        <v>Grading Policy</v>
      </c>
    </row>
    <row r="9">
      <c r="A9" t="str">
        <v>Middle Management</v>
      </c>
      <c r="L9" t="str">
        <v>EEA2 Forms and Proof of Submission</v>
      </c>
    </row>
    <row r="10">
      <c r="A10" t="str">
        <v>composition of Black employees in Middle Management as a % of all Middle Management ( in line with EAP targets)</v>
      </c>
      <c r="B10">
        <v>0.75</v>
      </c>
      <c r="C10">
        <v>2</v>
      </c>
      <c r="D10" t="e">
        <f>E10/C10*B10</f>
        <v>#DIV/0!</v>
      </c>
      <c r="E10" t="e">
        <f>H108</f>
        <v>#DIV/0!</v>
      </c>
      <c r="L10" t="str">
        <v>EEA4 Forms and Proof of Submission</v>
      </c>
    </row>
    <row r="11">
      <c r="L11" t="str">
        <v>Acknowlegement Letter</v>
      </c>
    </row>
    <row r="12">
      <c r="A12" t="str">
        <v>composition of Black Female employees in Middle Management  as a % of all Middle Management ( in line with EAP targets)</v>
      </c>
      <c r="B12">
        <v>0.38</v>
      </c>
      <c r="C12">
        <v>1</v>
      </c>
      <c r="D12" t="e">
        <f>E12/C12*B12</f>
        <v>#DIV/0!</v>
      </c>
      <c r="E12" t="e">
        <f>H139</f>
        <v>#DIV/0!</v>
      </c>
    </row>
    <row r="14">
      <c r="A14" t="str">
        <v>Junior Management</v>
      </c>
    </row>
    <row r="15">
      <c r="A15" t="str">
        <v>composition of Black employees in Junior Management as a % of all Junior  Management ( in line with EAP targets)</v>
      </c>
      <c r="B15">
        <v>0.88</v>
      </c>
      <c r="C15">
        <v>1</v>
      </c>
      <c r="D15" t="e">
        <f>E15/C15*B15</f>
        <v>#DIV/0!</v>
      </c>
      <c r="E15" t="e">
        <f>H168</f>
        <v>#DIV/0!</v>
      </c>
    </row>
    <row r="17">
      <c r="A17" t="str">
        <v>composition of Black Female employees in Junior Management as a % of all Junior  Management ( in line with EAP targets)</v>
      </c>
      <c r="B17">
        <v>0.44</v>
      </c>
      <c r="C17">
        <v>1</v>
      </c>
      <c r="D17" t="e">
        <f>E17/C17*B17</f>
        <v>#DIV/0!</v>
      </c>
      <c r="E17" t="e">
        <f>H197</f>
        <v>#DIV/0!</v>
      </c>
    </row>
    <row r="19">
      <c r="A19" t="str">
        <v xml:space="preserve">Employees With Disabilities </v>
      </c>
    </row>
    <row r="20">
      <c r="A20" t="str">
        <v xml:space="preserve">Black employees with disabilities as a % of all employees </v>
      </c>
      <c r="B20">
        <v>0.02</v>
      </c>
      <c r="C20">
        <v>2</v>
      </c>
      <c r="D20" t="e">
        <f>B204/B205</f>
        <v>#DIV/0!</v>
      </c>
      <c r="E20" t="e">
        <f>MIN(D20/B20*C20,C20)</f>
        <v>#DIV/0!</v>
      </c>
    </row>
    <row r="22">
      <c r="A22" t="str">
        <v xml:space="preserve">Total </v>
      </c>
      <c r="C22" cm="1">
        <f t="array" ref="C22:C23">'Management Control'!C18+'Employment Equity'!C5:C6+'Employment Equity'!C7:C8+'Employment Equity'!C10:C11+'Employment Equity'!C12:C13+'Employment Equity'!C15:C16+'Employment Equity'!C17:C18+'Employment Equity'!C20:C21</f>
        <v>19</v>
      </c>
      <c r="E22" t="e">
        <f>SUM(E5,E7,E10,E12,E15,E17,E20)</f>
        <v>#DIV/0!</v>
      </c>
    </row>
    <row r="23">
      <c r="C23">
        <v>9</v>
      </c>
      <c r="E23" t="e">
        <f>'Management Control'!E18+'Employment Equity'!E22</f>
        <v>#DIV/0!</v>
      </c>
    </row>
    <row r="25">
      <c r="A25" t="str">
        <v xml:space="preserve">Black People at Senior Management </v>
      </c>
    </row>
    <row r="27">
      <c r="A27" t="str">
        <v xml:space="preserve">Input Data </v>
      </c>
      <c r="B27" t="str">
        <v xml:space="preserve">Male </v>
      </c>
      <c r="E27" t="str">
        <v xml:space="preserve">Female </v>
      </c>
      <c r="H27" t="str">
        <v>Total staff</v>
      </c>
    </row>
    <row r="28">
      <c r="B28" t="str">
        <v>African</v>
      </c>
      <c r="C28" t="str">
        <v xml:space="preserve">Coloured </v>
      </c>
      <c r="D28" t="str">
        <v xml:space="preserve">Indian </v>
      </c>
      <c r="E28" t="str">
        <v xml:space="preserve">African </v>
      </c>
      <c r="F28" t="str">
        <v xml:space="preserve">Coloured </v>
      </c>
      <c r="G28" t="str">
        <v>Indian</v>
      </c>
    </row>
    <row r="29">
      <c r="A29" t="str">
        <v xml:space="preserve">Total employees per race </v>
      </c>
      <c r="B29">
        <f>'5 Staff List '!L2</f>
        <v>0</v>
      </c>
      <c r="C29">
        <f>'5 Staff List '!M2</f>
        <v>0</v>
      </c>
      <c r="D29">
        <f>'5 Staff List '!N2</f>
        <v>0</v>
      </c>
      <c r="E29">
        <f>'5 Staff List '!O2</f>
        <v>0</v>
      </c>
      <c r="F29">
        <f>'5 Staff List '!P2</f>
        <v>0</v>
      </c>
      <c r="G29">
        <f>'5 Staff List '!Q2</f>
        <v>0</v>
      </c>
      <c r="H29">
        <v>0</v>
      </c>
    </row>
    <row r="30">
      <c r="A30" t="str">
        <v>EAP targets</v>
      </c>
      <c r="B30">
        <v>0.435</v>
      </c>
      <c r="C30">
        <v>0.046</v>
      </c>
      <c r="D30">
        <v>0.017</v>
      </c>
      <c r="E30">
        <v>0.375</v>
      </c>
      <c r="F30">
        <v>0.042</v>
      </c>
      <c r="G30">
        <v>0.01</v>
      </c>
      <c r="H30">
        <f>SUM(B30:G30)</f>
        <v>0.925</v>
      </c>
    </row>
    <row r="31">
      <c r="H31" t="str">
        <v xml:space="preserve">Calculation steps shown on the left </v>
      </c>
    </row>
    <row r="32">
      <c r="A32" t="str">
        <v>Step 1</v>
      </c>
      <c r="B32" t="e">
        <f>B29/$H$29</f>
        <v>#DIV/0!</v>
      </c>
      <c r="C32" t="e">
        <f>C29/$H$29</f>
        <v>#DIV/0!</v>
      </c>
      <c r="D32" t="e">
        <f>D29/$H$29</f>
        <v>#DIV/0!</v>
      </c>
      <c r="E32" t="e">
        <f>E29/$H$29</f>
        <v>#DIV/0!</v>
      </c>
      <c r="F32" t="e">
        <f>F29/$H$29</f>
        <v>#DIV/0!</v>
      </c>
      <c r="G32" t="e">
        <f>G29/$H$29</f>
        <v>#DIV/0!</v>
      </c>
    </row>
    <row r="33">
      <c r="A33" t="str">
        <v>Calculating the percentage per race</v>
      </c>
    </row>
    <row r="36">
      <c r="A36" t="str">
        <v>Step 2</v>
      </c>
      <c r="B36">
        <f>B30/$H$30</f>
        <v>0.47027027027027024</v>
      </c>
      <c r="C36">
        <f>C30/$H$30</f>
        <v>0.04972972972972973</v>
      </c>
      <c r="D36">
        <f>D30/$H$30</f>
        <v>0.018378378378378378</v>
      </c>
      <c r="E36">
        <f>E30/$H$30</f>
        <v>0.4054054054054054</v>
      </c>
      <c r="F36">
        <f>F30/$H$30</f>
        <v>0.04540540540540541</v>
      </c>
      <c r="G36">
        <f>G30/$H$30</f>
        <v>0.01081081081081081</v>
      </c>
    </row>
    <row r="37">
      <c r="A37" t="str">
        <v>Adjusted EAP per race</v>
      </c>
    </row>
    <row r="40">
      <c r="A40" t="str">
        <v>Step 3</v>
      </c>
      <c r="B40">
        <f>B5</f>
        <v>0.6</v>
      </c>
    </row>
    <row r="41">
      <c r="A41" t="str">
        <v xml:space="preserve">Split Compliance target </v>
      </c>
      <c r="B41">
        <f>(B36)*B40</f>
        <v>0.2821621621621621</v>
      </c>
      <c r="C41">
        <f>(C36)*B40</f>
        <v>0.029837837837837836</v>
      </c>
      <c r="D41">
        <f>(D36)*B40</f>
        <v>0.011027027027027026</v>
      </c>
      <c r="E41">
        <f>(E36)*B40</f>
        <v>0.2432432432432432</v>
      </c>
      <c r="F41">
        <f>(F36)*B40</f>
        <v>0.027243243243243242</v>
      </c>
      <c r="G41">
        <f>(G36)*B40</f>
        <v>0.006486486486486485</v>
      </c>
    </row>
    <row r="44">
      <c r="A44" t="str">
        <v xml:space="preserve">Step 4 </v>
      </c>
      <c r="B44">
        <f>C5</f>
        <v>2</v>
      </c>
    </row>
    <row r="45">
      <c r="A45" t="str">
        <v>Maximum allowable points per race</v>
      </c>
      <c r="B45">
        <f>B36*B44</f>
        <v>0.9405405405405405</v>
      </c>
      <c r="C45">
        <f>C36*B44</f>
        <v>0.09945945945945946</v>
      </c>
      <c r="D45">
        <f>D36*B44</f>
        <v>0.036756756756756756</v>
      </c>
      <c r="E45">
        <f>E36*B44</f>
        <v>0.8108108108108107</v>
      </c>
      <c r="F45">
        <f>F36*B44</f>
        <v>0.09081081081081081</v>
      </c>
      <c r="G45">
        <f>G36*B44</f>
        <v>0.02162162162162162</v>
      </c>
    </row>
    <row r="48">
      <c r="A48" t="str">
        <v>Step 5</v>
      </c>
    </row>
    <row r="49">
      <c r="A49" t="str">
        <v xml:space="preserve">Total points awarded </v>
      </c>
      <c r="B49" t="e">
        <f>MIN((B32/B41)*B45,B45)</f>
        <v>#DIV/0!</v>
      </c>
      <c r="C49" t="e">
        <f>MIN((C32/C41)*C45,C45)</f>
        <v>#DIV/0!</v>
      </c>
      <c r="D49" t="e">
        <f>MIN((D32/D41)*D45,D45)</f>
        <v>#DIV/0!</v>
      </c>
      <c r="E49" t="e">
        <f>MIN((E32/E41)*E45,E45)</f>
        <v>#DIV/0!</v>
      </c>
      <c r="F49" t="e">
        <f>MIN((F32/F41)*F45,F45)</f>
        <v>#DIV/0!</v>
      </c>
      <c r="G49" t="e">
        <f>MIN((G32/G41)*G45,G45)</f>
        <v>#DIV/0!</v>
      </c>
    </row>
    <row r="50">
      <c r="H50" t="e">
        <f>SUM(B49:G51)</f>
        <v>#DIV/0!</v>
      </c>
    </row>
    <row r="54">
      <c r="A54" t="str">
        <v xml:space="preserve">Black Women at Senior Management </v>
      </c>
    </row>
    <row r="56">
      <c r="A56" t="str">
        <v xml:space="preserve">Input Data </v>
      </c>
      <c r="B56" t="str">
        <v xml:space="preserve">Male </v>
      </c>
      <c r="E56" t="str">
        <v xml:space="preserve">Female </v>
      </c>
      <c r="H56" t="str">
        <v>Total staff</v>
      </c>
    </row>
    <row r="57">
      <c r="B57" t="str">
        <v>African</v>
      </c>
      <c r="C57" t="str">
        <v xml:space="preserve">Coloured </v>
      </c>
      <c r="D57" t="str">
        <v xml:space="preserve">Indian </v>
      </c>
      <c r="E57" t="str">
        <v xml:space="preserve">African </v>
      </c>
      <c r="F57" t="str">
        <v xml:space="preserve">Coloured </v>
      </c>
      <c r="G57" t="str">
        <v>Indian</v>
      </c>
    </row>
    <row r="58">
      <c r="A58" t="str">
        <v xml:space="preserve">Total employees per race </v>
      </c>
      <c r="E58">
        <f>'5 Staff List '!O2</f>
        <v>0</v>
      </c>
      <c r="F58">
        <f>'5 Staff List '!P2</f>
        <v>0</v>
      </c>
      <c r="G58">
        <f>'5 Staff List '!Q2</f>
        <v>0</v>
      </c>
      <c r="H58">
        <f>H29</f>
        <v>0</v>
      </c>
    </row>
    <row r="59">
      <c r="A59" t="str">
        <v>EAP targets</v>
      </c>
      <c r="E59">
        <f>E30</f>
        <v>0.375</v>
      </c>
      <c r="F59">
        <f>F30</f>
        <v>0.042</v>
      </c>
      <c r="G59">
        <f>G30</f>
        <v>0.01</v>
      </c>
      <c r="H59">
        <f>SUM(B59:G59)</f>
        <v>0.427</v>
      </c>
    </row>
    <row r="60">
      <c r="H60" t="str">
        <v xml:space="preserve">Calculation steps shown on the left </v>
      </c>
    </row>
    <row r="61">
      <c r="A61" t="str">
        <v>Step 1</v>
      </c>
      <c r="E61" t="e">
        <f>E58/$H$58</f>
        <v>#DIV/0!</v>
      </c>
      <c r="F61" t="e">
        <f>F58/$H$58</f>
        <v>#DIV/0!</v>
      </c>
      <c r="G61" t="e">
        <f>G58/$H$58</f>
        <v>#DIV/0!</v>
      </c>
    </row>
    <row r="62">
      <c r="A62" t="str">
        <v>Calculating the percentage per race</v>
      </c>
    </row>
    <row r="65">
      <c r="A65" t="str">
        <v>Step 2</v>
      </c>
      <c r="E65">
        <f>E59/$H$59</f>
        <v>0.8782201405152225</v>
      </c>
      <c r="F65">
        <f>F59/$H$59</f>
        <v>0.09836065573770493</v>
      </c>
      <c r="G65">
        <f>G59/$H$59</f>
        <v>0.0234192037470726</v>
      </c>
    </row>
    <row r="66">
      <c r="A66" t="str">
        <v>Adjusted EAP per race</v>
      </c>
    </row>
    <row r="69">
      <c r="A69" t="str">
        <v>Step 3</v>
      </c>
      <c r="B69">
        <f>B7</f>
        <v>0.3</v>
      </c>
    </row>
    <row r="70">
      <c r="A70" t="str">
        <v xml:space="preserve">Split Compliance target </v>
      </c>
      <c r="E70">
        <f>(E65)*B69</f>
        <v>0.2634660421545667</v>
      </c>
      <c r="F70">
        <f>(F65)*B69</f>
        <v>0.029508196721311476</v>
      </c>
      <c r="G70">
        <f>(G65)*B69</f>
        <v>0.00702576112412178</v>
      </c>
    </row>
    <row r="73">
      <c r="A73" t="str">
        <v xml:space="preserve">Step 4 </v>
      </c>
      <c r="B73">
        <f>C7</f>
        <v>1</v>
      </c>
    </row>
    <row r="74">
      <c r="A74" t="str">
        <v>Maximum allowable points per race</v>
      </c>
      <c r="E74">
        <f>E65*B73</f>
        <v>0.8782201405152225</v>
      </c>
      <c r="F74">
        <f>F65*B73</f>
        <v>0.09836065573770493</v>
      </c>
      <c r="G74">
        <f>G65*B73</f>
        <v>0.0234192037470726</v>
      </c>
    </row>
    <row r="77">
      <c r="A77" t="str">
        <v>Step 5</v>
      </c>
    </row>
    <row r="78">
      <c r="A78" t="str">
        <v xml:space="preserve">Total points awarded </v>
      </c>
      <c r="E78" t="e">
        <f>MIN((E61/E70)*E74,E74)</f>
        <v>#DIV/0!</v>
      </c>
      <c r="F78" t="e">
        <f>MIN((F61/F70)*F74,F74)</f>
        <v>#DIV/0!</v>
      </c>
      <c r="G78" t="e">
        <f>MIN((G61/G70)*G74,G74)</f>
        <v>#DIV/0!</v>
      </c>
    </row>
    <row r="79">
      <c r="H79" t="e">
        <f>SUM(E78:G80)</f>
        <v>#DIV/0!</v>
      </c>
    </row>
    <row r="83">
      <c r="A83" t="str">
        <v xml:space="preserve">Black People at Middle  Management </v>
      </c>
    </row>
    <row r="85">
      <c r="A85" t="str">
        <v xml:space="preserve">Input Data </v>
      </c>
      <c r="B85" t="str">
        <v xml:space="preserve">Male </v>
      </c>
      <c r="E85" t="str">
        <v xml:space="preserve">Female </v>
      </c>
      <c r="H85" t="str">
        <v>Total staff</v>
      </c>
    </row>
    <row r="86">
      <c r="B86" t="str">
        <v>African</v>
      </c>
      <c r="C86" t="str">
        <v xml:space="preserve">Coloured </v>
      </c>
      <c r="D86" t="str">
        <v xml:space="preserve">Indian </v>
      </c>
      <c r="E86" t="str">
        <v xml:space="preserve">African </v>
      </c>
      <c r="F86" t="str">
        <v xml:space="preserve">Coloured </v>
      </c>
      <c r="G86" t="str">
        <v>Indian</v>
      </c>
    </row>
    <row r="87">
      <c r="A87" t="str">
        <v xml:space="preserve">Total employees per race </v>
      </c>
      <c r="B87">
        <f>'5 Staff List '!R2</f>
        <v>0</v>
      </c>
      <c r="C87">
        <f>'5 Staff List '!S2</f>
        <v>0</v>
      </c>
      <c r="D87">
        <f>'5 Staff List '!T2</f>
        <v>0</v>
      </c>
      <c r="E87">
        <f>'5 Staff List '!U2</f>
        <v>0</v>
      </c>
      <c r="F87">
        <f>'5 Staff List '!V2</f>
        <v>0</v>
      </c>
      <c r="G87">
        <f>'5 Staff List '!W2</f>
        <v>0</v>
      </c>
      <c r="H87">
        <v>0</v>
      </c>
    </row>
    <row r="88">
      <c r="A88" t="str">
        <v>EAP targets</v>
      </c>
      <c r="B88">
        <v>0.435</v>
      </c>
      <c r="C88">
        <v>0.046</v>
      </c>
      <c r="D88">
        <v>0.017</v>
      </c>
      <c r="E88">
        <v>0.375</v>
      </c>
      <c r="F88">
        <v>0.042</v>
      </c>
      <c r="G88">
        <v>0.01</v>
      </c>
      <c r="H88">
        <f>SUM(B88:G88)</f>
        <v>0.925</v>
      </c>
    </row>
    <row r="89">
      <c r="H89" t="str">
        <v xml:space="preserve">Calculation steps shown on the left </v>
      </c>
    </row>
    <row r="90">
      <c r="A90" t="str">
        <v>Step 1</v>
      </c>
      <c r="B90" t="e">
        <f>B87/$H$87</f>
        <v>#DIV/0!</v>
      </c>
      <c r="C90" t="e">
        <f>C87/$H$87</f>
        <v>#DIV/0!</v>
      </c>
      <c r="D90" t="e">
        <f>D87/$H$87</f>
        <v>#DIV/0!</v>
      </c>
      <c r="E90" t="e">
        <f>E87/$H$87</f>
        <v>#DIV/0!</v>
      </c>
      <c r="F90" t="e">
        <f>F87/$H$87</f>
        <v>#DIV/0!</v>
      </c>
      <c r="G90" t="e">
        <f>G87/$H$87</f>
        <v>#DIV/0!</v>
      </c>
    </row>
    <row r="91">
      <c r="A91" t="str">
        <v>Calculating the percentage per race</v>
      </c>
    </row>
    <row r="94">
      <c r="A94" t="str">
        <v>Step 2</v>
      </c>
      <c r="B94">
        <f>B88/$H$88</f>
        <v>0.47027027027027024</v>
      </c>
      <c r="C94">
        <f>C88/$H$88</f>
        <v>0.04972972972972973</v>
      </c>
      <c r="D94">
        <f>D88/$H$88</f>
        <v>0.018378378378378378</v>
      </c>
      <c r="E94">
        <f>E88/$H$88</f>
        <v>0.4054054054054054</v>
      </c>
      <c r="F94">
        <f>F88/$H$88</f>
        <v>0.04540540540540541</v>
      </c>
      <c r="G94">
        <f>G88/$H$88</f>
        <v>0.01081081081081081</v>
      </c>
    </row>
    <row r="95">
      <c r="A95" t="str">
        <v>Adjusted EAP per race</v>
      </c>
    </row>
    <row r="98">
      <c r="A98" t="str">
        <v>Step 3</v>
      </c>
      <c r="B98">
        <f>B10</f>
        <v>0.75</v>
      </c>
    </row>
    <row r="99">
      <c r="A99" t="str">
        <v xml:space="preserve">Split Compliance target </v>
      </c>
      <c r="B99">
        <f>(B94)*B98</f>
        <v>0.35270270270270265</v>
      </c>
      <c r="C99">
        <f>(C94)*B98</f>
        <v>0.0372972972972973</v>
      </c>
      <c r="D99">
        <f>(D94)*B98</f>
        <v>0.013783783783783784</v>
      </c>
      <c r="E99">
        <f>(E94)*B98</f>
        <v>0.30405405405405406</v>
      </c>
      <c r="F99">
        <f>(F94)*B98</f>
        <v>0.03405405405405405</v>
      </c>
      <c r="G99">
        <f>(G94)*B98</f>
        <v>0.008108108108108107</v>
      </c>
    </row>
    <row r="102">
      <c r="A102" t="str">
        <v xml:space="preserve">Step 4 </v>
      </c>
      <c r="B102">
        <f>C10</f>
        <v>2</v>
      </c>
    </row>
    <row r="103">
      <c r="A103" t="str">
        <v>Maximum allowable points per race</v>
      </c>
      <c r="B103">
        <f>B94*B102</f>
        <v>0.9405405405405405</v>
      </c>
      <c r="C103">
        <f>C94*B102</f>
        <v>0.09945945945945946</v>
      </c>
      <c r="D103">
        <f>D94*B102</f>
        <v>0.036756756756756756</v>
      </c>
      <c r="E103">
        <f>E94*B102</f>
        <v>0.8108108108108107</v>
      </c>
      <c r="F103">
        <f>F94*B102</f>
        <v>0.09081081081081081</v>
      </c>
      <c r="G103">
        <f>G94*B102</f>
        <v>0.02162162162162162</v>
      </c>
    </row>
    <row r="106">
      <c r="A106" t="str">
        <v>Step 5</v>
      </c>
    </row>
    <row r="107">
      <c r="A107" t="str">
        <v xml:space="preserve">Total points awarded </v>
      </c>
      <c r="B107" t="e">
        <f>MIN((B90/B99)*B103,B103)</f>
        <v>#DIV/0!</v>
      </c>
      <c r="C107" t="e">
        <f>MIN((C90/C99)*C103,C103)</f>
        <v>#DIV/0!</v>
      </c>
      <c r="D107" t="e">
        <f>MIN((D90/D99)*D103,D103)</f>
        <v>#DIV/0!</v>
      </c>
      <c r="E107" t="e">
        <f>MIN((E90/E99)*E103,E103)</f>
        <v>#DIV/0!</v>
      </c>
      <c r="F107" t="e">
        <f>MIN((F90/F99)*F103,F103)</f>
        <v>#DIV/0!</v>
      </c>
      <c r="G107" t="e">
        <f>MIN((G90/G99)*G103,G103)</f>
        <v>#DIV/0!</v>
      </c>
    </row>
    <row r="108">
      <c r="H108" t="e">
        <f>SUM(B107:G109)</f>
        <v>#DIV/0!</v>
      </c>
    </row>
    <row r="114">
      <c r="A114" t="str">
        <v xml:space="preserve">Black Women at Middle Management </v>
      </c>
    </row>
    <row r="116">
      <c r="A116" t="str">
        <v xml:space="preserve">Input Data </v>
      </c>
      <c r="B116" t="str">
        <v xml:space="preserve">Male </v>
      </c>
      <c r="E116" t="str">
        <v xml:space="preserve">Female </v>
      </c>
      <c r="H116" t="str">
        <v>Total staff</v>
      </c>
    </row>
    <row r="117">
      <c r="B117" t="str">
        <v>African</v>
      </c>
      <c r="C117" t="str">
        <v xml:space="preserve">Coloured </v>
      </c>
      <c r="D117" t="str">
        <v xml:space="preserve">Indian </v>
      </c>
      <c r="E117" t="str">
        <v xml:space="preserve">African </v>
      </c>
      <c r="F117" t="str">
        <v xml:space="preserve">Coloured </v>
      </c>
      <c r="G117" t="str">
        <v>Indian</v>
      </c>
    </row>
    <row r="118">
      <c r="A118" t="str">
        <v xml:space="preserve">Total employees per race </v>
      </c>
      <c r="E118">
        <f>'5 Staff List '!U2</f>
        <v>0</v>
      </c>
      <c r="F118">
        <f>'5 Staff List '!V2</f>
        <v>0</v>
      </c>
      <c r="G118">
        <f>'5 Staff List '!W2</f>
        <v>0</v>
      </c>
      <c r="H118">
        <f>H87</f>
        <v>0</v>
      </c>
    </row>
    <row r="119">
      <c r="A119" t="str">
        <v>EAP targets</v>
      </c>
      <c r="E119">
        <f>E88</f>
        <v>0.375</v>
      </c>
      <c r="F119">
        <f>F88</f>
        <v>0.042</v>
      </c>
      <c r="G119">
        <f>G88</f>
        <v>0.01</v>
      </c>
      <c r="H119">
        <f>SUM(B119:G119)</f>
        <v>0.427</v>
      </c>
    </row>
    <row r="120">
      <c r="H120" t="str">
        <v xml:space="preserve">Calculation steps shown on the left </v>
      </c>
    </row>
    <row r="121">
      <c r="A121" t="str">
        <v>Step 1</v>
      </c>
      <c r="E121" t="e">
        <f>E118/$H$118</f>
        <v>#DIV/0!</v>
      </c>
      <c r="F121" t="e">
        <f>F118/$H$118</f>
        <v>#DIV/0!</v>
      </c>
      <c r="G121" t="e">
        <f>G118/$H$118</f>
        <v>#DIV/0!</v>
      </c>
    </row>
    <row r="122">
      <c r="A122" t="str">
        <v>Calculating the percentage per race</v>
      </c>
    </row>
    <row r="125">
      <c r="A125" t="str">
        <v>Step 2</v>
      </c>
      <c r="E125">
        <f>E119/$H$119</f>
        <v>0.8782201405152225</v>
      </c>
      <c r="F125">
        <f>F119/$H$119</f>
        <v>0.09836065573770493</v>
      </c>
      <c r="G125">
        <f>G119/$H$119</f>
        <v>0.0234192037470726</v>
      </c>
    </row>
    <row r="126">
      <c r="A126" t="str">
        <v>Adjusted EAP per race</v>
      </c>
    </row>
    <row r="129">
      <c r="A129" t="str">
        <v>Step 3</v>
      </c>
      <c r="B129">
        <f>B12</f>
        <v>0.38</v>
      </c>
    </row>
    <row r="130">
      <c r="A130" t="str">
        <v xml:space="preserve">Split Compliance target </v>
      </c>
      <c r="E130">
        <f>$B$129*E125</f>
        <v>0.3337236533957845</v>
      </c>
      <c r="F130">
        <f>$B$129*F125</f>
        <v>0.03737704918032787</v>
      </c>
      <c r="G130">
        <f>$B$129*G125</f>
        <v>0.008899297423887589</v>
      </c>
    </row>
    <row r="133">
      <c r="A133" t="str">
        <v xml:space="preserve">Step 4 </v>
      </c>
      <c r="B133">
        <f>C12</f>
        <v>1</v>
      </c>
    </row>
    <row r="134">
      <c r="A134" t="str">
        <v>Maximum allowable points per race</v>
      </c>
      <c r="E134">
        <f>$B$133*E125</f>
        <v>0.8782201405152225</v>
      </c>
      <c r="F134">
        <f>$B$133*F125</f>
        <v>0.09836065573770493</v>
      </c>
      <c r="G134">
        <f>$B$133*G125</f>
        <v>0.0234192037470726</v>
      </c>
    </row>
    <row r="137">
      <c r="A137" t="str">
        <v>Step 5</v>
      </c>
    </row>
    <row r="138">
      <c r="A138" t="str">
        <v xml:space="preserve">Total points awarded </v>
      </c>
      <c r="E138" t="e">
        <f>MIN((E121/E130)*E134,E134)</f>
        <v>#DIV/0!</v>
      </c>
      <c r="F138" t="e">
        <f>MIN((F121/F130)*F134,F134)</f>
        <v>#DIV/0!</v>
      </c>
      <c r="G138" t="e">
        <f>MIN((G121/G130)*G134,G134)</f>
        <v>#DIV/0!</v>
      </c>
    </row>
    <row r="139">
      <c r="H139" t="e">
        <f>SUM(E138:G140)</f>
        <v>#DIV/0!</v>
      </c>
    </row>
    <row r="143">
      <c r="A143" t="str">
        <v xml:space="preserve">Black People at Junior Management </v>
      </c>
    </row>
    <row r="145">
      <c r="A145" t="str">
        <v xml:space="preserve">Input Data </v>
      </c>
      <c r="B145" t="str">
        <v xml:space="preserve">Male </v>
      </c>
      <c r="E145" t="str">
        <v xml:space="preserve">Female </v>
      </c>
      <c r="H145" t="str">
        <v>Total staff</v>
      </c>
    </row>
    <row r="146">
      <c r="B146" t="str">
        <v>African</v>
      </c>
      <c r="C146" t="str">
        <v xml:space="preserve">Coloured </v>
      </c>
      <c r="D146" t="str">
        <v xml:space="preserve">Indian </v>
      </c>
      <c r="E146" t="str">
        <v xml:space="preserve">African </v>
      </c>
      <c r="F146" t="str">
        <v xml:space="preserve">Coloured </v>
      </c>
      <c r="G146" t="str">
        <v>Indian</v>
      </c>
    </row>
    <row r="147">
      <c r="A147" t="str">
        <v xml:space="preserve">Total employees per race </v>
      </c>
      <c r="B147">
        <f>'5 Staff List '!X2</f>
        <v>0</v>
      </c>
      <c r="C147">
        <f>'5 Staff List '!Y2</f>
        <v>0</v>
      </c>
      <c r="D147">
        <f>'5 Staff List '!Z2</f>
        <v>0</v>
      </c>
      <c r="E147">
        <f>'5 Staff List '!AA2</f>
        <v>0</v>
      </c>
      <c r="F147">
        <f>'5 Staff List '!AB2</f>
        <v>0</v>
      </c>
      <c r="G147">
        <f>'5 Staff List '!AC2</f>
        <v>0</v>
      </c>
      <c r="H147">
        <v>0</v>
      </c>
    </row>
    <row r="148">
      <c r="A148" t="str">
        <v>EAP targets</v>
      </c>
      <c r="B148">
        <v>0.435</v>
      </c>
      <c r="C148">
        <v>0.046</v>
      </c>
      <c r="D148">
        <v>0.017</v>
      </c>
      <c r="E148">
        <v>0.375</v>
      </c>
      <c r="F148">
        <v>0.042</v>
      </c>
      <c r="G148">
        <v>0.01</v>
      </c>
      <c r="H148">
        <f>SUM(B148:G148)</f>
        <v>0.925</v>
      </c>
    </row>
    <row r="149">
      <c r="H149" t="str">
        <v xml:space="preserve">Calculation steps shown on the left </v>
      </c>
    </row>
    <row r="150">
      <c r="A150" t="str">
        <v>Step 1</v>
      </c>
      <c r="B150" t="e">
        <f>B147/$H$147</f>
        <v>#DIV/0!</v>
      </c>
      <c r="C150" t="e">
        <f>C147/$H$147</f>
        <v>#DIV/0!</v>
      </c>
      <c r="D150" t="e">
        <f>D147/$H$147</f>
        <v>#DIV/0!</v>
      </c>
      <c r="E150" t="e">
        <f>E147/$H$147</f>
        <v>#DIV/0!</v>
      </c>
      <c r="F150" t="e">
        <f>F147/$H$147</f>
        <v>#DIV/0!</v>
      </c>
      <c r="G150" t="e">
        <f>G147/$H$147</f>
        <v>#DIV/0!</v>
      </c>
    </row>
    <row r="151">
      <c r="A151" t="str">
        <v>Calculating the percentage per race</v>
      </c>
    </row>
    <row r="154">
      <c r="A154" t="str">
        <v>Step 2</v>
      </c>
      <c r="B154">
        <f>B148/$H$148</f>
        <v>0.47027027027027024</v>
      </c>
      <c r="C154">
        <f>C148/$H$148</f>
        <v>0.04972972972972973</v>
      </c>
      <c r="D154">
        <f>D148/$H$148</f>
        <v>0.018378378378378378</v>
      </c>
      <c r="E154">
        <f>E148/$H$148</f>
        <v>0.4054054054054054</v>
      </c>
      <c r="F154">
        <f>F148/$H$148</f>
        <v>0.04540540540540541</v>
      </c>
      <c r="G154">
        <f>G148/$H$148</f>
        <v>0.01081081081081081</v>
      </c>
    </row>
    <row r="155">
      <c r="A155" t="str">
        <v>Adjusted EAP per race</v>
      </c>
    </row>
    <row r="158">
      <c r="A158" t="str">
        <v>Step 3</v>
      </c>
      <c r="B158">
        <f>B15</f>
        <v>0.88</v>
      </c>
    </row>
    <row r="159">
      <c r="A159" t="str">
        <v xml:space="preserve">Split Compliance target </v>
      </c>
      <c r="B159">
        <f>$B$158*B154</f>
        <v>0.41383783783783784</v>
      </c>
      <c r="C159">
        <f>$B$158*C154</f>
        <v>0.04376216216216216</v>
      </c>
      <c r="D159">
        <f>$B$158*D154</f>
        <v>0.016172972972972974</v>
      </c>
      <c r="E159">
        <f>$B$158*E154</f>
        <v>0.3567567567567567</v>
      </c>
      <c r="F159">
        <f>$B$158*F154</f>
        <v>0.03995675675675676</v>
      </c>
      <c r="G159">
        <f>$B$158*G154</f>
        <v>0.009513513513513512</v>
      </c>
    </row>
    <row r="162">
      <c r="A162" t="str">
        <v xml:space="preserve">Step 4 </v>
      </c>
      <c r="B162">
        <f>C15</f>
        <v>1</v>
      </c>
    </row>
    <row r="163">
      <c r="A163" t="str">
        <v>Maximum allowable points per race</v>
      </c>
      <c r="B163">
        <f>$B$162*B154</f>
        <v>0.47027027027027024</v>
      </c>
      <c r="C163">
        <f>$B$162*C154</f>
        <v>0.04972972972972973</v>
      </c>
      <c r="D163">
        <f>$B$162*D154</f>
        <v>0.018378378378378378</v>
      </c>
      <c r="E163">
        <f>$B$162*E154</f>
        <v>0.4054054054054054</v>
      </c>
      <c r="F163">
        <f>$B$162*F154</f>
        <v>0.04540540540540541</v>
      </c>
      <c r="G163">
        <f>$B$162*G154</f>
        <v>0.01081081081081081</v>
      </c>
    </row>
    <row r="166">
      <c r="A166" t="str">
        <v>Step 5</v>
      </c>
    </row>
    <row r="167">
      <c r="A167" t="str">
        <v xml:space="preserve">Total points awarded </v>
      </c>
      <c r="B167" t="e">
        <f>MIN((B150/B159)*B163,B163)</f>
        <v>#DIV/0!</v>
      </c>
      <c r="C167" t="e">
        <f>MIN((C150/C159)*C163,C163)</f>
        <v>#DIV/0!</v>
      </c>
      <c r="D167" t="e">
        <f>MIN((D150/D159)*D163,D163)</f>
        <v>#DIV/0!</v>
      </c>
      <c r="E167" t="e">
        <f>MIN((E150/E159)*E163,E163)</f>
        <v>#DIV/0!</v>
      </c>
      <c r="F167" t="e">
        <f>MIN((F150/F159)*F163,F163)</f>
        <v>#DIV/0!</v>
      </c>
      <c r="G167" t="e">
        <f>MIN((G150/G159)*G163,G163)</f>
        <v>#DIV/0!</v>
      </c>
    </row>
    <row r="168">
      <c r="H168" t="e">
        <f>SUM(B167:G169)</f>
        <v>#DIV/0!</v>
      </c>
    </row>
    <row r="172">
      <c r="A172" t="str">
        <v xml:space="preserve">Black Women at Junior Management </v>
      </c>
    </row>
    <row r="174">
      <c r="A174" t="str">
        <v xml:space="preserve">Input Data </v>
      </c>
      <c r="B174" t="str">
        <v xml:space="preserve">Male </v>
      </c>
      <c r="E174" t="str">
        <v xml:space="preserve">Female </v>
      </c>
      <c r="H174" t="str">
        <v>Total staff</v>
      </c>
    </row>
    <row r="175">
      <c r="B175" t="str">
        <v>African</v>
      </c>
      <c r="C175" t="str">
        <v xml:space="preserve">Coloured </v>
      </c>
      <c r="D175" t="str">
        <v xml:space="preserve">Indian </v>
      </c>
      <c r="E175" t="str">
        <v xml:space="preserve">African </v>
      </c>
      <c r="F175" t="str">
        <v xml:space="preserve">Coloured </v>
      </c>
      <c r="G175" t="str">
        <v>Indian</v>
      </c>
    </row>
    <row r="176">
      <c r="A176" t="str">
        <v xml:space="preserve">Total employees per race </v>
      </c>
      <c r="E176">
        <f>'5 Staff List '!AA2</f>
        <v>0</v>
      </c>
      <c r="F176">
        <f>'5 Staff List '!AB2</f>
        <v>0</v>
      </c>
      <c r="G176">
        <f>'5 Staff List '!AC2</f>
        <v>0</v>
      </c>
      <c r="H176">
        <f>H147</f>
        <v>0</v>
      </c>
    </row>
    <row r="177">
      <c r="A177" t="str">
        <v>EAP targets</v>
      </c>
      <c r="E177">
        <f>E148</f>
        <v>0.375</v>
      </c>
      <c r="F177">
        <f>F148</f>
        <v>0.042</v>
      </c>
      <c r="G177">
        <f>G148</f>
        <v>0.01</v>
      </c>
      <c r="H177">
        <f>SUM(B177:G177)</f>
        <v>0.427</v>
      </c>
    </row>
    <row r="178">
      <c r="H178" t="str">
        <v xml:space="preserve">Calculation steps shown on the left </v>
      </c>
    </row>
    <row r="179">
      <c r="A179" t="str">
        <v>Step 1</v>
      </c>
      <c r="E179" t="e">
        <f>E176/$H$176</f>
        <v>#DIV/0!</v>
      </c>
      <c r="F179" t="e">
        <f>F176/$H$176</f>
        <v>#DIV/0!</v>
      </c>
      <c r="G179" t="e">
        <f>G176/$H$176</f>
        <v>#DIV/0!</v>
      </c>
    </row>
    <row r="180">
      <c r="A180" t="str">
        <v>Calculating the percentage per race</v>
      </c>
    </row>
    <row r="183">
      <c r="A183" t="str">
        <v>Step 2</v>
      </c>
      <c r="E183">
        <f>E177/$H$177</f>
        <v>0.8782201405152225</v>
      </c>
      <c r="F183">
        <f>F177/$H$177</f>
        <v>0.09836065573770493</v>
      </c>
      <c r="G183">
        <f>G177/$H$177</f>
        <v>0.0234192037470726</v>
      </c>
    </row>
    <row r="184">
      <c r="A184" t="str">
        <v>Adjusted EAP per race</v>
      </c>
    </row>
    <row r="187">
      <c r="A187" t="str">
        <v>Step 3</v>
      </c>
      <c r="B187">
        <f>B17</f>
        <v>0.44</v>
      </c>
    </row>
    <row r="188">
      <c r="A188" t="str">
        <v xml:space="preserve">Split Compliance target </v>
      </c>
      <c r="E188">
        <f>$B$187*E183</f>
        <v>0.3864168618266979</v>
      </c>
      <c r="F188">
        <f>$B$187*F183</f>
        <v>0.04327868852459017</v>
      </c>
      <c r="G188">
        <f>$B$187*G183</f>
        <v>0.010304449648711944</v>
      </c>
    </row>
    <row r="191">
      <c r="A191" t="str">
        <v xml:space="preserve">Step 4 </v>
      </c>
      <c r="B191">
        <f>C17</f>
        <v>1</v>
      </c>
    </row>
    <row r="192">
      <c r="A192" t="str">
        <v>Maximum allowable points per race</v>
      </c>
      <c r="E192">
        <f>$B$191*E183</f>
        <v>0.8782201405152225</v>
      </c>
      <c r="F192">
        <f>$B$191*F183</f>
        <v>0.09836065573770493</v>
      </c>
      <c r="G192">
        <f>$B$191*G183</f>
        <v>0.0234192037470726</v>
      </c>
    </row>
    <row r="195">
      <c r="A195" t="str">
        <v>Step 5</v>
      </c>
    </row>
    <row r="196">
      <c r="A196" t="str">
        <v xml:space="preserve">Total points awarded </v>
      </c>
      <c r="E196" t="e">
        <f>MIN((E179/E188)*E192,E192)</f>
        <v>#DIV/0!</v>
      </c>
      <c r="F196" t="e">
        <f>MIN((F179/F188)*F192,F192)</f>
        <v>#DIV/0!</v>
      </c>
      <c r="G196" t="e">
        <f>MIN((G179/G188)*G192,G192)</f>
        <v>#DIV/0!</v>
      </c>
    </row>
    <row r="197">
      <c r="H197" t="e">
        <f>SUM(E196:G198)</f>
        <v>#DIV/0!</v>
      </c>
    </row>
    <row r="202">
      <c r="A202" t="str">
        <v>Black Disabled Employees</v>
      </c>
    </row>
    <row r="204">
      <c r="A204" t="str">
        <v xml:space="preserve">Black </v>
      </c>
      <c r="B204">
        <v>0</v>
      </c>
    </row>
    <row r="205">
      <c r="A205" t="str">
        <v xml:space="preserve">Total </v>
      </c>
      <c r="B205">
        <v>0</v>
      </c>
    </row>
  </sheetData>
  <mergeCells count="327">
    <mergeCell ref="A9:E9"/>
    <mergeCell ref="A14:E14"/>
    <mergeCell ref="A19:E19"/>
    <mergeCell ref="A25:H26"/>
    <mergeCell ref="A54:H55"/>
    <mergeCell ref="A83:H84"/>
    <mergeCell ref="A114:H115"/>
    <mergeCell ref="A143:H144"/>
    <mergeCell ref="A172:H173"/>
    <mergeCell ref="H85:H86"/>
    <mergeCell ref="H89:H105"/>
    <mergeCell ref="B90:B93"/>
    <mergeCell ref="C90:C93"/>
    <mergeCell ref="D90:D93"/>
    <mergeCell ref="E90:E93"/>
    <mergeCell ref="F90:F93"/>
    <mergeCell ref="G90:G93"/>
    <mergeCell ref="A91:A93"/>
    <mergeCell ref="B94:B97"/>
    <mergeCell ref="C94:C97"/>
    <mergeCell ref="D94:D97"/>
    <mergeCell ref="E94:E97"/>
    <mergeCell ref="F94:F97"/>
    <mergeCell ref="G94:G97"/>
    <mergeCell ref="A106:G106"/>
    <mergeCell ref="A107:A109"/>
    <mergeCell ref="B107:B109"/>
    <mergeCell ref="C107:C109"/>
    <mergeCell ref="D107:D109"/>
    <mergeCell ref="E107:E109"/>
    <mergeCell ref="F107:F109"/>
    <mergeCell ref="G107:G109"/>
    <mergeCell ref="A184:A186"/>
    <mergeCell ref="G183:G186"/>
    <mergeCell ref="B174:D174"/>
    <mergeCell ref="E174:G174"/>
    <mergeCell ref="B162:G162"/>
    <mergeCell ref="A163:A165"/>
    <mergeCell ref="B163:B165"/>
    <mergeCell ref="C163:C165"/>
    <mergeCell ref="D163:D165"/>
    <mergeCell ref="E163:E165"/>
    <mergeCell ref="F163:F165"/>
    <mergeCell ref="G163:G165"/>
    <mergeCell ref="A151:A153"/>
    <mergeCell ref="A122:A124"/>
    <mergeCell ref="B125:B128"/>
    <mergeCell ref="C125:C128"/>
    <mergeCell ref="B85:D85"/>
    <mergeCell ref="E85:G85"/>
    <mergeCell ref="D99:D101"/>
    <mergeCell ref="E99:E101"/>
    <mergeCell ref="F99:F101"/>
    <mergeCell ref="G99:G101"/>
    <mergeCell ref="B102:G102"/>
    <mergeCell ref="A103:A105"/>
    <mergeCell ref="B103:B105"/>
    <mergeCell ref="C103:C105"/>
    <mergeCell ref="D103:D105"/>
    <mergeCell ref="E103:E105"/>
    <mergeCell ref="F103:F105"/>
    <mergeCell ref="G103:G105"/>
    <mergeCell ref="A95:A97"/>
    <mergeCell ref="B98:G98"/>
    <mergeCell ref="A99:A101"/>
    <mergeCell ref="B99:B101"/>
    <mergeCell ref="C99:C101"/>
    <mergeCell ref="A74:A76"/>
    <mergeCell ref="B74:B76"/>
    <mergeCell ref="C74:C76"/>
    <mergeCell ref="D74:D76"/>
    <mergeCell ref="E74:E76"/>
    <mergeCell ref="A62:A64"/>
    <mergeCell ref="B65:B68"/>
    <mergeCell ref="C65:C68"/>
    <mergeCell ref="D65:D68"/>
    <mergeCell ref="E65:E68"/>
    <mergeCell ref="A66:A68"/>
    <mergeCell ref="A70:A72"/>
    <mergeCell ref="D70:D72"/>
    <mergeCell ref="E70:E72"/>
    <mergeCell ref="B69:G69"/>
    <mergeCell ref="B70:B72"/>
    <mergeCell ref="C70:C72"/>
    <mergeCell ref="F41:F43"/>
    <mergeCell ref="E15:E16"/>
    <mergeCell ref="F15:F16"/>
    <mergeCell ref="G15:G16"/>
    <mergeCell ref="H15:H16"/>
    <mergeCell ref="F17:F18"/>
    <mergeCell ref="G17:G18"/>
    <mergeCell ref="H17:H18"/>
    <mergeCell ref="F20:F21"/>
    <mergeCell ref="G20:G21"/>
    <mergeCell ref="H20:H21"/>
    <mergeCell ref="G45:G47"/>
    <mergeCell ref="H56:H57"/>
    <mergeCell ref="H60:H76"/>
    <mergeCell ref="B61:B64"/>
    <mergeCell ref="C61:C64"/>
    <mergeCell ref="D61:D64"/>
    <mergeCell ref="E61:E64"/>
    <mergeCell ref="F61:F64"/>
    <mergeCell ref="G61:G64"/>
    <mergeCell ref="F74:F76"/>
    <mergeCell ref="B73:G73"/>
    <mergeCell ref="E56:G56"/>
    <mergeCell ref="F65:F68"/>
    <mergeCell ref="G74:G76"/>
    <mergeCell ref="G65:G68"/>
    <mergeCell ref="F70:F72"/>
    <mergeCell ref="G70:G72"/>
    <mergeCell ref="F45:F47"/>
    <mergeCell ref="F2:F3"/>
    <mergeCell ref="G2:G3"/>
    <mergeCell ref="H2:H3"/>
    <mergeCell ref="F5:F6"/>
    <mergeCell ref="G5:G6"/>
    <mergeCell ref="H5:H6"/>
    <mergeCell ref="F7:F8"/>
    <mergeCell ref="G7:G8"/>
    <mergeCell ref="H7:H8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G12:G13"/>
    <mergeCell ref="H12:H13"/>
    <mergeCell ref="A10:A11"/>
    <mergeCell ref="B10:B11"/>
    <mergeCell ref="C10:C11"/>
    <mergeCell ref="D10:D11"/>
    <mergeCell ref="E10:E11"/>
    <mergeCell ref="A202:C202"/>
    <mergeCell ref="A195:G195"/>
    <mergeCell ref="A196:A198"/>
    <mergeCell ref="B196:B198"/>
    <mergeCell ref="C196:C198"/>
    <mergeCell ref="D196:D198"/>
    <mergeCell ref="E196:E198"/>
    <mergeCell ref="F196:F198"/>
    <mergeCell ref="G196:G198"/>
    <mergeCell ref="A159:A161"/>
    <mergeCell ref="H174:H175"/>
    <mergeCell ref="H178:H194"/>
    <mergeCell ref="B179:B182"/>
    <mergeCell ref="C179:C182"/>
    <mergeCell ref="D179:D182"/>
    <mergeCell ref="E179:E182"/>
    <mergeCell ref="F179:F182"/>
    <mergeCell ref="G179:G182"/>
    <mergeCell ref="B191:G191"/>
    <mergeCell ref="F188:F190"/>
    <mergeCell ref="G188:G190"/>
    <mergeCell ref="B192:B194"/>
    <mergeCell ref="C192:C194"/>
    <mergeCell ref="D192:D194"/>
    <mergeCell ref="E192:E194"/>
    <mergeCell ref="F192:F194"/>
    <mergeCell ref="G192:G194"/>
    <mergeCell ref="A180:A182"/>
    <mergeCell ref="B183:B186"/>
    <mergeCell ref="C183:C186"/>
    <mergeCell ref="D183:D186"/>
    <mergeCell ref="E183:E186"/>
    <mergeCell ref="F183:F186"/>
    <mergeCell ref="A166:G166"/>
    <mergeCell ref="A167:A169"/>
    <mergeCell ref="B167:B169"/>
    <mergeCell ref="C167:C169"/>
    <mergeCell ref="D167:D169"/>
    <mergeCell ref="E167:E169"/>
    <mergeCell ref="F167:F169"/>
    <mergeCell ref="G167:G169"/>
    <mergeCell ref="B187:G187"/>
    <mergeCell ref="A188:A190"/>
    <mergeCell ref="B188:B190"/>
    <mergeCell ref="C188:C190"/>
    <mergeCell ref="D188:D190"/>
    <mergeCell ref="E188:E190"/>
    <mergeCell ref="A192:A194"/>
    <mergeCell ref="H145:H146"/>
    <mergeCell ref="H149:H165"/>
    <mergeCell ref="B150:B153"/>
    <mergeCell ref="C150:C153"/>
    <mergeCell ref="D150:D153"/>
    <mergeCell ref="E150:E153"/>
    <mergeCell ref="F150:F153"/>
    <mergeCell ref="B158:G158"/>
    <mergeCell ref="B159:B161"/>
    <mergeCell ref="C159:C161"/>
    <mergeCell ref="D159:D161"/>
    <mergeCell ref="E159:E161"/>
    <mergeCell ref="F159:F161"/>
    <mergeCell ref="G159:G161"/>
    <mergeCell ref="G150:G153"/>
    <mergeCell ref="F154:F157"/>
    <mergeCell ref="G154:G157"/>
    <mergeCell ref="B154:B157"/>
    <mergeCell ref="C154:C157"/>
    <mergeCell ref="D154:D157"/>
    <mergeCell ref="E154:E157"/>
    <mergeCell ref="D125:D128"/>
    <mergeCell ref="E125:E128"/>
    <mergeCell ref="B145:D145"/>
    <mergeCell ref="E145:G145"/>
    <mergeCell ref="A155:A157"/>
    <mergeCell ref="A126:A128"/>
    <mergeCell ref="A130:A132"/>
    <mergeCell ref="F130:F132"/>
    <mergeCell ref="G130:G132"/>
    <mergeCell ref="A137:G137"/>
    <mergeCell ref="A138:A140"/>
    <mergeCell ref="B138:B140"/>
    <mergeCell ref="C138:C140"/>
    <mergeCell ref="D138:D140"/>
    <mergeCell ref="E138:E140"/>
    <mergeCell ref="F138:F140"/>
    <mergeCell ref="G138:G140"/>
    <mergeCell ref="B133:G133"/>
    <mergeCell ref="A134:A136"/>
    <mergeCell ref="B116:D116"/>
    <mergeCell ref="E116:G116"/>
    <mergeCell ref="H116:H117"/>
    <mergeCell ref="H120:H136"/>
    <mergeCell ref="B121:B124"/>
    <mergeCell ref="C121:C124"/>
    <mergeCell ref="D121:D124"/>
    <mergeCell ref="E121:E124"/>
    <mergeCell ref="F121:F124"/>
    <mergeCell ref="G121:G124"/>
    <mergeCell ref="G125:G128"/>
    <mergeCell ref="B129:G129"/>
    <mergeCell ref="B130:B132"/>
    <mergeCell ref="C130:C132"/>
    <mergeCell ref="D130:D132"/>
    <mergeCell ref="E130:E132"/>
    <mergeCell ref="B134:B136"/>
    <mergeCell ref="C134:C136"/>
    <mergeCell ref="D134:D136"/>
    <mergeCell ref="E134:E136"/>
    <mergeCell ref="F134:F136"/>
    <mergeCell ref="G134:G136"/>
    <mergeCell ref="F125:F128"/>
    <mergeCell ref="A37:A39"/>
    <mergeCell ref="A77:G77"/>
    <mergeCell ref="A78:A80"/>
    <mergeCell ref="B78:B80"/>
    <mergeCell ref="C78:C80"/>
    <mergeCell ref="D78:D80"/>
    <mergeCell ref="E78:E80"/>
    <mergeCell ref="F78:F80"/>
    <mergeCell ref="G78:G80"/>
    <mergeCell ref="G41:G43"/>
    <mergeCell ref="A48:G48"/>
    <mergeCell ref="A49:A51"/>
    <mergeCell ref="B49:B51"/>
    <mergeCell ref="C49:C51"/>
    <mergeCell ref="D49:D51"/>
    <mergeCell ref="E49:E51"/>
    <mergeCell ref="F49:F51"/>
    <mergeCell ref="G49:G51"/>
    <mergeCell ref="B44:G44"/>
    <mergeCell ref="A45:A47"/>
    <mergeCell ref="B45:B47"/>
    <mergeCell ref="C45:C47"/>
    <mergeCell ref="D45:D47"/>
    <mergeCell ref="E45:E47"/>
    <mergeCell ref="A41:A43"/>
    <mergeCell ref="B56:D56"/>
    <mergeCell ref="H27:H28"/>
    <mergeCell ref="H31:H47"/>
    <mergeCell ref="B32:B35"/>
    <mergeCell ref="C32:C35"/>
    <mergeCell ref="D32:D35"/>
    <mergeCell ref="E32:E35"/>
    <mergeCell ref="F32:F35"/>
    <mergeCell ref="G32:G35"/>
    <mergeCell ref="G36:G39"/>
    <mergeCell ref="B40:G40"/>
    <mergeCell ref="B41:B43"/>
    <mergeCell ref="C41:C43"/>
    <mergeCell ref="D41:D43"/>
    <mergeCell ref="E41:E43"/>
    <mergeCell ref="A33:A35"/>
    <mergeCell ref="B36:B39"/>
    <mergeCell ref="C36:C39"/>
    <mergeCell ref="D36:D39"/>
    <mergeCell ref="E36:E39"/>
    <mergeCell ref="F36:F39"/>
    <mergeCell ref="B27:D27"/>
    <mergeCell ref="E27:G27"/>
    <mergeCell ref="A17:A18"/>
    <mergeCell ref="B17:B18"/>
    <mergeCell ref="C17:C18"/>
    <mergeCell ref="D17:D18"/>
    <mergeCell ref="E17:E18"/>
    <mergeCell ref="A15:A16"/>
    <mergeCell ref="B15:B16"/>
    <mergeCell ref="C15:C16"/>
    <mergeCell ref="A20:A21"/>
    <mergeCell ref="B20:B21"/>
    <mergeCell ref="C20:C21"/>
    <mergeCell ref="D20:D21"/>
    <mergeCell ref="E20:E21"/>
    <mergeCell ref="D15:D16"/>
    <mergeCell ref="A7:A8"/>
    <mergeCell ref="B7:B8"/>
    <mergeCell ref="C7:C8"/>
    <mergeCell ref="D7:D8"/>
    <mergeCell ref="E7:E8"/>
    <mergeCell ref="A2:A3"/>
    <mergeCell ref="B2:B3"/>
    <mergeCell ref="C2:C3"/>
    <mergeCell ref="D2:D3"/>
    <mergeCell ref="E2:E3"/>
    <mergeCell ref="A5:A6"/>
    <mergeCell ref="B5:B6"/>
    <mergeCell ref="C5:C6"/>
    <mergeCell ref="D5:D6"/>
    <mergeCell ref="E5:E6"/>
    <mergeCell ref="A4:E4"/>
  </mergeCells>
  <pageMargins left="0.7" right="0.7" top="0.75" bottom="0.75" header="0.3" footer="0.3"/>
  <ignoredErrors>
    <ignoredError numberStoredAsText="1" sqref="A2:BG206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16"/>
  <sheetViews>
    <sheetView workbookViewId="0" rightToLeft="0"/>
  </sheetViews>
  <sheetData>
    <row r="2">
      <c r="A2" t="str">
        <v xml:space="preserve">Measurement Category &amp; Criteria </v>
      </c>
      <c r="B2" t="str">
        <v xml:space="preserve">Target </v>
      </c>
      <c r="C2" t="str">
        <v xml:space="preserve">Available Points </v>
      </c>
      <c r="D2" t="str">
        <v>Achieved %</v>
      </c>
      <c r="E2" t="str">
        <v xml:space="preserve">Points Achieved </v>
      </c>
      <c r="K2" t="str">
        <v xml:space="preserve">Required Documents </v>
      </c>
      <c r="L2" t="str">
        <v>Checklist - Yes/No</v>
      </c>
      <c r="M2" t="str">
        <v xml:space="preserve">Notes </v>
      </c>
    </row>
    <row r="3">
      <c r="K3" t="str">
        <v>Latest submitted Workplace Skills Plan and Annual Training Report to SETA</v>
      </c>
    </row>
    <row r="4">
      <c r="A4" t="str">
        <v xml:space="preserve">Skills Development Expenditure </v>
      </c>
      <c r="K4" t="str">
        <v>Proof of submission to SETA</v>
      </c>
    </row>
    <row r="5">
      <c r="A5" t="str">
        <v xml:space="preserve">Training Expenditure for black people </v>
      </c>
      <c r="B5">
        <v>0.035</v>
      </c>
      <c r="C5">
        <v>6</v>
      </c>
      <c r="D5" t="e">
        <f>E5/C5*B5</f>
        <v>#DIV/0!</v>
      </c>
      <c r="E5" t="e">
        <f>H44</f>
        <v>#DIV/0!</v>
      </c>
      <c r="K5" t="str">
        <v>Proof of approval of WSP/ATR by the SETA</v>
      </c>
    </row>
    <row r="6">
      <c r="K6" t="str">
        <v>EMP201 Forms and proof of payments and SARS statements for the Period being verified (EMPSA) for 2021 Jan - Dec</v>
      </c>
    </row>
    <row r="7">
      <c r="A7" t="str">
        <v xml:space="preserve">Bursaries Awarded to black people </v>
      </c>
      <c r="B7">
        <v>0.025</v>
      </c>
      <c r="C7">
        <v>4</v>
      </c>
      <c r="D7" t="e">
        <f>E7/C7*B7</f>
        <v>#DIV/0!</v>
      </c>
      <c r="E7" t="e">
        <f>H73</f>
        <v>#DIV/0!</v>
      </c>
      <c r="K7" t="str">
        <v>Printed and Checked priority skills training requirement - as per registered SETA body.</v>
      </c>
    </row>
    <row r="8">
      <c r="K8" t="str">
        <v>EMPSA ( For Measurement Period)</v>
      </c>
    </row>
    <row r="9">
      <c r="A9" t="str">
        <v xml:space="preserve">Training for Black People with Disabilities </v>
      </c>
      <c r="B9">
        <v>0.003</v>
      </c>
      <c r="C9">
        <v>4</v>
      </c>
      <c r="D9" t="e">
        <f>B109/B110</f>
        <v>#DIV/0!</v>
      </c>
      <c r="E9" t="e">
        <f>MIN(D9/B9*C9,C9)</f>
        <v>#DIV/0!</v>
      </c>
      <c r="K9" t="str">
        <v xml:space="preserve">SDS Letter </v>
      </c>
    </row>
    <row r="10">
      <c r="K10" t="str">
        <v>All Invoices for Skills Development</v>
      </c>
    </row>
    <row r="11">
      <c r="A11" t="str">
        <v xml:space="preserve">Learnerships </v>
      </c>
      <c r="K11" t="str">
        <v>All Proof of Payments for Skills Development</v>
      </c>
    </row>
    <row r="12">
      <c r="A12" t="str">
        <v xml:space="preserve">Number of black people participating in learnerships, internships and apprenticeships </v>
      </c>
      <c r="B12">
        <v>0.05</v>
      </c>
      <c r="C12">
        <v>6</v>
      </c>
      <c r="D12" t="e">
        <f>E12/C12*B12</f>
        <v>#DIV/0!</v>
      </c>
      <c r="E12" t="e">
        <f>H102</f>
        <v>#DIV/0!</v>
      </c>
    </row>
    <row r="14">
      <c r="A14" t="str">
        <v xml:space="preserve">Bonus Points </v>
      </c>
    </row>
    <row r="15">
      <c r="A15" t="str">
        <v>Absorption of learners who have completed their programs</v>
      </c>
      <c r="B15">
        <v>1</v>
      </c>
      <c r="C15">
        <v>5</v>
      </c>
      <c r="D15" t="e">
        <f>B115/B116</f>
        <v>#DIV/0!</v>
      </c>
      <c r="E15" t="e">
        <f>MIN(D15/B15*C15,C15)</f>
        <v>#DIV/0!</v>
      </c>
    </row>
    <row r="17">
      <c r="A17" t="str">
        <v>Total</v>
      </c>
      <c r="C17">
        <f>SUM(C5,C7,C9,C12)</f>
        <v>20</v>
      </c>
      <c r="E17" t="e">
        <f>SUM(E5:E10,E12:E13,E15)</f>
        <v>#DIV/0!</v>
      </c>
    </row>
    <row r="19">
      <c r="A19" t="str">
        <v xml:space="preserve">Black People Expenditure </v>
      </c>
    </row>
    <row r="21">
      <c r="A21" t="str">
        <v xml:space="preserve">Input Data </v>
      </c>
      <c r="B21" t="str">
        <v xml:space="preserve">Male </v>
      </c>
      <c r="E21" t="str">
        <v xml:space="preserve">Female </v>
      </c>
      <c r="H21" t="str">
        <v xml:space="preserve">Leviable Amount </v>
      </c>
    </row>
    <row r="22">
      <c r="B22" t="str">
        <v>African</v>
      </c>
      <c r="C22" t="str">
        <v xml:space="preserve">Coloured </v>
      </c>
      <c r="D22" t="str">
        <v xml:space="preserve">Indian </v>
      </c>
      <c r="E22" t="str">
        <v xml:space="preserve">African </v>
      </c>
      <c r="F22" t="str">
        <v xml:space="preserve">Coloured </v>
      </c>
      <c r="G22" t="str">
        <v>Indian</v>
      </c>
    </row>
    <row r="23">
      <c r="A23" t="str">
        <v xml:space="preserve">Total employees per race </v>
      </c>
      <c r="B23">
        <f>'Category A'!O2+'Category BCDE'!O2+'Category F&amp;G'!O1</f>
        <v>0</v>
      </c>
      <c r="C23">
        <f>'Category A'!P2+'Category BCDE'!P2+'Category F&amp;G'!P1</f>
        <v>0</v>
      </c>
      <c r="D23">
        <f>'Category A'!Q2+'Category BCDE'!Q2+'Category F&amp;G'!Q1</f>
        <v>0</v>
      </c>
      <c r="E23">
        <f>'Category A'!R2+'Category BCDE'!R2+'Category F&amp;G'!R1</f>
        <v>0</v>
      </c>
      <c r="F23">
        <f>'Category A'!S2+'Category BCDE'!S2+'Category F&amp;G'!S1</f>
        <v>0</v>
      </c>
      <c r="G23">
        <f>'Category A'!T2+'Category BCDE'!T2+'Category F&amp;G'!T1</f>
        <v>0</v>
      </c>
      <c r="H23">
        <v>0</v>
      </c>
      <c r="J23">
        <f>SUM(B23:G23)</f>
        <v>0</v>
      </c>
    </row>
    <row r="24">
      <c r="A24" t="str">
        <v>EAP targets</v>
      </c>
      <c r="B24">
        <v>0.435</v>
      </c>
      <c r="C24">
        <v>0.046</v>
      </c>
      <c r="D24">
        <v>0.017</v>
      </c>
      <c r="E24">
        <v>0.375</v>
      </c>
      <c r="F24">
        <v>0.042</v>
      </c>
      <c r="G24">
        <v>0.01</v>
      </c>
      <c r="H24">
        <f>SUM(B24:G24)</f>
        <v>0.925</v>
      </c>
      <c r="J24">
        <f>J23*25%</f>
        <v>0</v>
      </c>
    </row>
    <row r="25">
      <c r="H25" t="str">
        <v xml:space="preserve">Calculation steps shown on the left </v>
      </c>
    </row>
    <row r="26">
      <c r="A26" t="str">
        <v>Step 1</v>
      </c>
      <c r="B26" t="e">
        <f>B23/$H$23</f>
        <v>#DIV/0!</v>
      </c>
      <c r="C26" t="e">
        <f>C23/$H$23</f>
        <v>#DIV/0!</v>
      </c>
      <c r="D26" t="e">
        <f>D23/$H$23</f>
        <v>#DIV/0!</v>
      </c>
      <c r="E26" t="e">
        <f>E23/$H$23</f>
        <v>#DIV/0!</v>
      </c>
      <c r="F26" t="e">
        <f>F23/$H$23</f>
        <v>#DIV/0!</v>
      </c>
      <c r="G26" t="e">
        <f>G23/$H$23</f>
        <v>#DIV/0!</v>
      </c>
    </row>
    <row r="27">
      <c r="A27" t="str">
        <v>Calculating the percentage per race</v>
      </c>
    </row>
    <row r="30">
      <c r="A30" t="str">
        <v>Step 2</v>
      </c>
      <c r="B30">
        <f>B24/$H$24</f>
        <v>0.47027027027027024</v>
      </c>
      <c r="C30">
        <f>C24/$H$24</f>
        <v>0.04972972972972973</v>
      </c>
      <c r="D30">
        <f>D24/$H$24</f>
        <v>0.018378378378378378</v>
      </c>
      <c r="E30">
        <f>E24/$H$24</f>
        <v>0.4054054054054054</v>
      </c>
      <c r="F30">
        <f>F24/$H$24</f>
        <v>0.04540540540540541</v>
      </c>
      <c r="G30">
        <f>G24/$H$24</f>
        <v>0.01081081081081081</v>
      </c>
    </row>
    <row r="31">
      <c r="A31" t="str">
        <v>Adjusted EAP per race</v>
      </c>
    </row>
    <row r="34">
      <c r="A34" t="str">
        <v>Step 3</v>
      </c>
      <c r="B34">
        <f>B5</f>
        <v>0.035</v>
      </c>
    </row>
    <row r="35">
      <c r="A35" t="str">
        <v xml:space="preserve">Split Compliance target </v>
      </c>
      <c r="B35">
        <f>(B30)*B34</f>
        <v>0.01645945945945946</v>
      </c>
      <c r="C35">
        <f>(C30)*B34</f>
        <v>0.0017405405405405406</v>
      </c>
      <c r="D35">
        <f>(D30)*B34</f>
        <v>0.0006432432432432433</v>
      </c>
      <c r="E35">
        <f>(E30)*B34</f>
        <v>0.01418918918918919</v>
      </c>
      <c r="F35">
        <f>(F30)*B34</f>
        <v>0.0015891891891891895</v>
      </c>
      <c r="G35">
        <f>(G30)*B34</f>
        <v>0.0003783783783783784</v>
      </c>
    </row>
    <row r="38">
      <c r="A38" t="str">
        <v xml:space="preserve">Step 4 </v>
      </c>
      <c r="B38">
        <f>C5</f>
        <v>6</v>
      </c>
    </row>
    <row r="39">
      <c r="A39" t="str">
        <v>Maximum allowable points per race</v>
      </c>
      <c r="B39">
        <f>B30*B38</f>
        <v>2.8216216216216212</v>
      </c>
      <c r="C39">
        <f>C30*B38</f>
        <v>0.2983783783783784</v>
      </c>
      <c r="D39">
        <f>D30*B38</f>
        <v>0.11027027027027027</v>
      </c>
      <c r="E39">
        <f>E30*B38</f>
        <v>2.4324324324324325</v>
      </c>
      <c r="F39">
        <f>F30*B38</f>
        <v>0.2724324324324324</v>
      </c>
      <c r="G39">
        <f>G30*B38</f>
        <v>0.06486486486486485</v>
      </c>
    </row>
    <row r="42">
      <c r="A42" t="str">
        <v>Step 5</v>
      </c>
    </row>
    <row r="43">
      <c r="A43" t="str">
        <v xml:space="preserve">Total points awarded </v>
      </c>
      <c r="B43" t="e">
        <f>MIN(B26/B35*B39,B39)</f>
        <v>#DIV/0!</v>
      </c>
      <c r="C43" t="e">
        <f>MIN(C26/C35*C39,C39)</f>
        <v>#DIV/0!</v>
      </c>
      <c r="D43" t="e">
        <f>MIN(D26/D35*D39,D39)</f>
        <v>#DIV/0!</v>
      </c>
      <c r="E43" t="e">
        <f>MIN(E26/E35*E39,E39)</f>
        <v>#DIV/0!</v>
      </c>
      <c r="F43" t="e">
        <f>MIN(F26/F35*F39,F39)</f>
        <v>#DIV/0!</v>
      </c>
      <c r="G43" t="e">
        <f>MIN(G26/G35*G39,G39)</f>
        <v>#DIV/0!</v>
      </c>
    </row>
    <row r="44">
      <c r="H44" t="e">
        <f>SUM(B43:G45)</f>
        <v>#DIV/0!</v>
      </c>
    </row>
    <row r="48">
      <c r="A48" t="str">
        <v xml:space="preserve">Training Expenditure on Bursaries </v>
      </c>
    </row>
    <row r="50">
      <c r="A50" t="str">
        <v xml:space="preserve">Input Data </v>
      </c>
      <c r="B50" t="str">
        <v xml:space="preserve">Male </v>
      </c>
      <c r="E50" t="str">
        <v xml:space="preserve">Female </v>
      </c>
      <c r="H50" t="str">
        <v xml:space="preserve">Leviable Amount </v>
      </c>
    </row>
    <row r="51">
      <c r="B51" t="str">
        <v>African</v>
      </c>
      <c r="C51" t="str">
        <v xml:space="preserve">Coloured </v>
      </c>
      <c r="D51" t="str">
        <v xml:space="preserve">Indian </v>
      </c>
      <c r="E51" t="str">
        <v xml:space="preserve">African </v>
      </c>
      <c r="F51" t="str">
        <v xml:space="preserve">Coloured </v>
      </c>
      <c r="G51" t="str">
        <v>Indian</v>
      </c>
    </row>
    <row r="52">
      <c r="A52" t="str">
        <v xml:space="preserve">Total employees per race </v>
      </c>
      <c r="B52">
        <f>'Category A'!O2</f>
        <v>0</v>
      </c>
      <c r="C52">
        <f>'Category A'!P2</f>
        <v>0</v>
      </c>
      <c r="D52">
        <f>'Category A'!Q2</f>
        <v>0</v>
      </c>
      <c r="E52">
        <f>'Category A'!R2</f>
        <v>0</v>
      </c>
      <c r="F52">
        <f>'Category A'!S2</f>
        <v>0</v>
      </c>
      <c r="G52">
        <f>'Category A'!T2</f>
        <v>0</v>
      </c>
      <c r="H52">
        <v>0</v>
      </c>
    </row>
    <row r="53">
      <c r="A53" t="str">
        <v>EAP targets</v>
      </c>
      <c r="B53">
        <v>0.435</v>
      </c>
      <c r="C53">
        <v>0.046</v>
      </c>
      <c r="D53">
        <v>0.017</v>
      </c>
      <c r="E53">
        <v>0.375</v>
      </c>
      <c r="F53">
        <v>0.042</v>
      </c>
      <c r="G53">
        <v>0.01</v>
      </c>
      <c r="H53">
        <f>SUM(B53:G53)</f>
        <v>0.925</v>
      </c>
    </row>
    <row r="54">
      <c r="H54" t="str">
        <v xml:space="preserve">Calculation steps shown on the left </v>
      </c>
    </row>
    <row r="55">
      <c r="A55" t="str">
        <v>Step 1</v>
      </c>
      <c r="B55" t="e">
        <f>B52/$H$52</f>
        <v>#DIV/0!</v>
      </c>
      <c r="C55" t="e">
        <f>C52/$H$52</f>
        <v>#DIV/0!</v>
      </c>
      <c r="D55" t="e">
        <f>D52/$H$52</f>
        <v>#DIV/0!</v>
      </c>
      <c r="E55" t="e">
        <f>E52/$H$52</f>
        <v>#DIV/0!</v>
      </c>
      <c r="F55" t="e">
        <f>F52/$H$52</f>
        <v>#DIV/0!</v>
      </c>
      <c r="G55" t="e">
        <f>G52/$H$52</f>
        <v>#DIV/0!</v>
      </c>
    </row>
    <row r="56">
      <c r="A56" t="str">
        <v>Calculating the percentage per race</v>
      </c>
    </row>
    <row r="59">
      <c r="A59" t="str">
        <v>Step 2</v>
      </c>
      <c r="B59">
        <f>B53/$H$53</f>
        <v>0.47027027027027024</v>
      </c>
      <c r="C59">
        <f>C53/$H$53</f>
        <v>0.04972972972972973</v>
      </c>
      <c r="D59">
        <f>D53/$H$53</f>
        <v>0.018378378378378378</v>
      </c>
      <c r="E59">
        <f>E53/$H$53</f>
        <v>0.4054054054054054</v>
      </c>
      <c r="F59">
        <f>F53/$H$53</f>
        <v>0.04540540540540541</v>
      </c>
      <c r="G59">
        <f>G53/$H$53</f>
        <v>0.01081081081081081</v>
      </c>
    </row>
    <row r="60">
      <c r="A60" t="str">
        <v>Adjusted EAP per race</v>
      </c>
    </row>
    <row r="63">
      <c r="A63" t="str">
        <v>Step 3</v>
      </c>
      <c r="B63">
        <f>B7</f>
        <v>0.025</v>
      </c>
    </row>
    <row r="64">
      <c r="A64" t="str">
        <v xml:space="preserve">Split Compliance target </v>
      </c>
      <c r="B64">
        <f>(B59)*B63</f>
        <v>0.011756756756756756</v>
      </c>
      <c r="C64">
        <f>(C59)*B63</f>
        <v>0.0012432432432432433</v>
      </c>
      <c r="D64">
        <f>(D59)*B63</f>
        <v>0.00045945945945945947</v>
      </c>
      <c r="E64">
        <f>(E59)*B63</f>
        <v>0.010135135135135136</v>
      </c>
      <c r="F64">
        <f>(F59)*B63</f>
        <v>0.0011351351351351353</v>
      </c>
      <c r="G64">
        <f>(G59)*B63</f>
        <v>0.0002702702702702703</v>
      </c>
    </row>
    <row r="67">
      <c r="A67" t="str">
        <v xml:space="preserve">Step 4 </v>
      </c>
      <c r="B67">
        <f>C7</f>
        <v>4</v>
      </c>
    </row>
    <row r="68">
      <c r="A68" t="str">
        <v>Maximum allowable points per race</v>
      </c>
      <c r="B68">
        <f>B59*B67</f>
        <v>1.881081081081081</v>
      </c>
      <c r="C68">
        <f>C59*B67</f>
        <v>0.1989189189189189</v>
      </c>
      <c r="D68">
        <f>D59*B67</f>
        <v>0.07351351351351351</v>
      </c>
      <c r="E68">
        <f>E59*B67</f>
        <v>1.6216216216216215</v>
      </c>
      <c r="F68">
        <f>F59*B67</f>
        <v>0.18162162162162163</v>
      </c>
      <c r="G68">
        <f>G59*B67</f>
        <v>0.04324324324324324</v>
      </c>
    </row>
    <row r="71">
      <c r="A71" t="str">
        <v>Step 5</v>
      </c>
    </row>
    <row r="72">
      <c r="A72" t="str">
        <v xml:space="preserve">Total points awarded </v>
      </c>
      <c r="B72" t="e">
        <f>MIN(B55/B64*B68,B68)</f>
        <v>#DIV/0!</v>
      </c>
      <c r="C72" t="e">
        <f>MIN(C55/C64*C68,C68)</f>
        <v>#DIV/0!</v>
      </c>
      <c r="D72" t="e">
        <f>MIN(D55/D64*D68,D68)</f>
        <v>#DIV/0!</v>
      </c>
      <c r="E72" t="e">
        <f>MIN(E55/E64*E68,E68)</f>
        <v>#DIV/0!</v>
      </c>
      <c r="F72" t="e">
        <f>MIN(F55/F64*F68,F68)</f>
        <v>#DIV/0!</v>
      </c>
      <c r="G72" t="e">
        <f>MIN(G55/G64*G68,G68)</f>
        <v>#DIV/0!</v>
      </c>
    </row>
    <row r="73">
      <c r="H73" t="e">
        <f>SUM(B72:G74)</f>
        <v>#DIV/0!</v>
      </c>
    </row>
    <row r="77">
      <c r="A77" t="str">
        <v xml:space="preserve">Learnerships </v>
      </c>
    </row>
    <row r="79">
      <c r="A79" t="str">
        <v xml:space="preserve">Input Data </v>
      </c>
      <c r="B79" t="str">
        <v xml:space="preserve">Male </v>
      </c>
      <c r="E79" t="str">
        <v xml:space="preserve">Female </v>
      </c>
      <c r="H79" t="str">
        <v>Total Staff</v>
      </c>
    </row>
    <row r="80">
      <c r="B80" t="str">
        <v>African</v>
      </c>
      <c r="C80" t="str">
        <v xml:space="preserve">Coloured </v>
      </c>
      <c r="D80" t="str">
        <v xml:space="preserve">Indian </v>
      </c>
      <c r="E80" t="str">
        <v xml:space="preserve">African </v>
      </c>
      <c r="F80" t="str">
        <v xml:space="preserve">Coloured </v>
      </c>
      <c r="G80" t="str">
        <v>Indian</v>
      </c>
    </row>
    <row r="81">
      <c r="A81" t="str">
        <v xml:space="preserve">Total employees per race </v>
      </c>
      <c r="B81">
        <f>'Category BCD(Hcount)'!P2</f>
        <v>0</v>
      </c>
      <c r="C81">
        <f>'Category BCD(Hcount)'!Q2</f>
        <v>0</v>
      </c>
      <c r="D81">
        <f>'Category BCD(Hcount)'!R2</f>
        <v>0</v>
      </c>
      <c r="E81">
        <f>'Category BCD(Hcount)'!S2</f>
        <v>0</v>
      </c>
      <c r="F81">
        <f>'Category BCD(Hcount)'!T2</f>
        <v>0</v>
      </c>
      <c r="G81">
        <f>'Category BCD(Hcount)'!U2</f>
        <v>0</v>
      </c>
      <c r="H81">
        <v>0</v>
      </c>
    </row>
    <row r="82">
      <c r="A82" t="str">
        <v>EAP targets</v>
      </c>
      <c r="B82">
        <v>0.435</v>
      </c>
      <c r="C82">
        <v>0.046</v>
      </c>
      <c r="D82">
        <v>0.017</v>
      </c>
      <c r="E82">
        <v>0.375</v>
      </c>
      <c r="F82">
        <v>0.042</v>
      </c>
      <c r="G82">
        <v>0.01</v>
      </c>
      <c r="H82">
        <f>SUM(B82:G82)</f>
        <v>0.925</v>
      </c>
    </row>
    <row r="83">
      <c r="H83" t="str">
        <v xml:space="preserve">Calculation steps shown on the left </v>
      </c>
    </row>
    <row r="84">
      <c r="A84" t="str">
        <v>Step 1</v>
      </c>
      <c r="B84" t="e">
        <f>B81/$H$81</f>
        <v>#DIV/0!</v>
      </c>
      <c r="C84" t="e">
        <f>C81/$H$81</f>
        <v>#DIV/0!</v>
      </c>
      <c r="D84" t="e">
        <f>D81/$H$81</f>
        <v>#DIV/0!</v>
      </c>
      <c r="E84" t="e">
        <f>E81/$H$81</f>
        <v>#DIV/0!</v>
      </c>
      <c r="F84" t="e">
        <f>F81/$H$81</f>
        <v>#DIV/0!</v>
      </c>
      <c r="G84" t="e">
        <f>G81/$H$81</f>
        <v>#DIV/0!</v>
      </c>
    </row>
    <row r="85">
      <c r="A85" t="str">
        <v>Calculating the percentage per race</v>
      </c>
    </row>
    <row r="88">
      <c r="A88" t="str">
        <v>Step 2</v>
      </c>
      <c r="B88">
        <f>B82/$H$82</f>
        <v>0.47027027027027024</v>
      </c>
      <c r="C88">
        <f>C82/$H$82</f>
        <v>0.04972972972972973</v>
      </c>
      <c r="D88">
        <f>D82/$H$82</f>
        <v>0.018378378378378378</v>
      </c>
      <c r="E88">
        <f>E82/$H$82</f>
        <v>0.4054054054054054</v>
      </c>
      <c r="F88">
        <f>F82/$H$82</f>
        <v>0.04540540540540541</v>
      </c>
      <c r="G88">
        <f>G82/$H$82</f>
        <v>0.01081081081081081</v>
      </c>
    </row>
    <row r="89">
      <c r="A89" t="str">
        <v>Adjusted EAP per race</v>
      </c>
    </row>
    <row r="92">
      <c r="A92" t="str">
        <v>Step 3</v>
      </c>
      <c r="B92">
        <f>B12</f>
        <v>0.05</v>
      </c>
    </row>
    <row r="93">
      <c r="A93" t="str">
        <v xml:space="preserve">Split Compliance target </v>
      </c>
      <c r="B93">
        <f>(B88)*B92</f>
        <v>0.023513513513513513</v>
      </c>
      <c r="C93">
        <f>(C88)*B92</f>
        <v>0.0024864864864864865</v>
      </c>
      <c r="D93">
        <f>(D88)*B92</f>
        <v>0.0009189189189189189</v>
      </c>
      <c r="E93">
        <f>(E88)*B92</f>
        <v>0.02027027027027027</v>
      </c>
      <c r="F93">
        <f>(F88)*B92</f>
        <v>0.0022702702702702706</v>
      </c>
      <c r="G93">
        <f>(G88)*B92</f>
        <v>0.0005405405405405405</v>
      </c>
    </row>
    <row r="96">
      <c r="A96" t="str">
        <v xml:space="preserve">Step 4 </v>
      </c>
      <c r="B96">
        <f>C12</f>
        <v>6</v>
      </c>
    </row>
    <row r="97">
      <c r="A97" t="str">
        <v>Maximum allowable points per race</v>
      </c>
      <c r="B97">
        <f>B88*B96</f>
        <v>2.8216216216216212</v>
      </c>
      <c r="C97">
        <f>C88*B96</f>
        <v>0.2983783783783784</v>
      </c>
      <c r="D97">
        <f>D88*B96</f>
        <v>0.11027027027027027</v>
      </c>
      <c r="E97">
        <f>E88*B96</f>
        <v>2.4324324324324325</v>
      </c>
      <c r="F97">
        <f>F88*B96</f>
        <v>0.2724324324324324</v>
      </c>
      <c r="G97">
        <f>G88*B96</f>
        <v>0.06486486486486485</v>
      </c>
    </row>
    <row r="100">
      <c r="A100" t="str">
        <v>Step 5</v>
      </c>
    </row>
    <row r="101">
      <c r="A101" t="str">
        <v xml:space="preserve">Total points awarded </v>
      </c>
      <c r="B101" t="e">
        <f>MIN(B84/B93*B97,B97)</f>
        <v>#DIV/0!</v>
      </c>
      <c r="C101" t="e">
        <f>MIN(C84/C93*C97,C97)</f>
        <v>#DIV/0!</v>
      </c>
      <c r="D101" t="e">
        <f>MIN(D84/D93*D97,D97)</f>
        <v>#DIV/0!</v>
      </c>
      <c r="E101" t="e">
        <f>MIN(E84/E93*E97,E97)</f>
        <v>#DIV/0!</v>
      </c>
      <c r="F101" t="e">
        <f>MIN(F84/F93*F97,F97)</f>
        <v>#DIV/0!</v>
      </c>
      <c r="G101" t="e">
        <f>MIN(G84/G93*G97,G97)</f>
        <v>#DIV/0!</v>
      </c>
    </row>
    <row r="102">
      <c r="H102" t="e">
        <f>SUM(B101:G103)</f>
        <v>#DIV/0!</v>
      </c>
    </row>
    <row r="107">
      <c r="A107" t="str">
        <v xml:space="preserve">Training Expenditure for Black People with Disabilties </v>
      </c>
    </row>
    <row r="109">
      <c r="A109" t="str">
        <v xml:space="preserve">Recognised spend </v>
      </c>
      <c r="B109">
        <f>'Category A'!U2+'Category BCDE'!U2+'Category F&amp;G'!U1</f>
        <v>0</v>
      </c>
      <c r="D109">
        <f>B110*0.3%</f>
        <v>0</v>
      </c>
    </row>
    <row r="110">
      <c r="A110" t="str">
        <v xml:space="preserve">Total Leviable Amount </v>
      </c>
      <c r="B110">
        <f>H23</f>
        <v>0</v>
      </c>
    </row>
    <row r="111">
      <c r="D111">
        <f>D109-B109</f>
        <v>0</v>
      </c>
    </row>
    <row r="113">
      <c r="A113" t="str">
        <v xml:space="preserve">Bonus Points: Absorption of Learners </v>
      </c>
    </row>
    <row r="115">
      <c r="A115" t="str">
        <v xml:space="preserve">Completed Learners </v>
      </c>
      <c r="B115">
        <v>0</v>
      </c>
    </row>
    <row r="116">
      <c r="A116" t="str">
        <v xml:space="preserve">Total Headcount </v>
      </c>
      <c r="B116">
        <v>0</v>
      </c>
    </row>
  </sheetData>
  <mergeCells count="179">
    <mergeCell ref="A14:E14"/>
    <mergeCell ref="A19:H20"/>
    <mergeCell ref="A48:H49"/>
    <mergeCell ref="A77:H78"/>
    <mergeCell ref="A107:H107"/>
    <mergeCell ref="A113:H113"/>
    <mergeCell ref="A7:A8"/>
    <mergeCell ref="B7:B8"/>
    <mergeCell ref="C7:C8"/>
    <mergeCell ref="D7:D8"/>
    <mergeCell ref="E7:E8"/>
    <mergeCell ref="F7:F8"/>
    <mergeCell ref="G7:G8"/>
    <mergeCell ref="H7:H8"/>
    <mergeCell ref="A15:A16"/>
    <mergeCell ref="B15:B16"/>
    <mergeCell ref="C15:C16"/>
    <mergeCell ref="D15:D16"/>
    <mergeCell ref="E15:E16"/>
    <mergeCell ref="F9:F10"/>
    <mergeCell ref="G9:G10"/>
    <mergeCell ref="H9:H10"/>
    <mergeCell ref="A12:A13"/>
    <mergeCell ref="B12:B13"/>
    <mergeCell ref="C12:C13"/>
    <mergeCell ref="D12:D13"/>
    <mergeCell ref="E12:E13"/>
    <mergeCell ref="F12:F13"/>
    <mergeCell ref="G12:G13"/>
    <mergeCell ref="H12:H13"/>
    <mergeCell ref="A9:A10"/>
    <mergeCell ref="B9:B10"/>
    <mergeCell ref="C9:C10"/>
    <mergeCell ref="D9:D10"/>
    <mergeCell ref="E9:E10"/>
    <mergeCell ref="A11:E11"/>
    <mergeCell ref="A5:A6"/>
    <mergeCell ref="B5:B6"/>
    <mergeCell ref="C5:C6"/>
    <mergeCell ref="D5:D6"/>
    <mergeCell ref="E5:E6"/>
    <mergeCell ref="F5:F6"/>
    <mergeCell ref="G5:G6"/>
    <mergeCell ref="H5:H6"/>
    <mergeCell ref="F2:F3"/>
    <mergeCell ref="G2:G3"/>
    <mergeCell ref="H2:H3"/>
    <mergeCell ref="A2:A3"/>
    <mergeCell ref="B2:B3"/>
    <mergeCell ref="C2:C3"/>
    <mergeCell ref="D2:D3"/>
    <mergeCell ref="E2:E3"/>
    <mergeCell ref="A4:E4"/>
    <mergeCell ref="B21:D21"/>
    <mergeCell ref="E21:G21"/>
    <mergeCell ref="H21:H22"/>
    <mergeCell ref="H25:H41"/>
    <mergeCell ref="B26:B29"/>
    <mergeCell ref="C26:C29"/>
    <mergeCell ref="D26:D29"/>
    <mergeCell ref="E26:E29"/>
    <mergeCell ref="F26:F29"/>
    <mergeCell ref="G26:G29"/>
    <mergeCell ref="A27:A29"/>
    <mergeCell ref="B30:B33"/>
    <mergeCell ref="C30:C33"/>
    <mergeCell ref="D30:D33"/>
    <mergeCell ref="E30:E33"/>
    <mergeCell ref="F30:F33"/>
    <mergeCell ref="G30:G33"/>
    <mergeCell ref="A31:A33"/>
    <mergeCell ref="B34:G34"/>
    <mergeCell ref="A35:A37"/>
    <mergeCell ref="B35:B37"/>
    <mergeCell ref="C35:C37"/>
    <mergeCell ref="D35:D37"/>
    <mergeCell ref="E35:E37"/>
    <mergeCell ref="F35:F37"/>
    <mergeCell ref="G35:G37"/>
    <mergeCell ref="A42:G42"/>
    <mergeCell ref="A43:A45"/>
    <mergeCell ref="B43:B45"/>
    <mergeCell ref="C43:C45"/>
    <mergeCell ref="D43:D45"/>
    <mergeCell ref="E43:E45"/>
    <mergeCell ref="F43:F45"/>
    <mergeCell ref="G43:G45"/>
    <mergeCell ref="B38:G38"/>
    <mergeCell ref="A39:A41"/>
    <mergeCell ref="B39:B41"/>
    <mergeCell ref="C39:C41"/>
    <mergeCell ref="D39:D41"/>
    <mergeCell ref="E39:E41"/>
    <mergeCell ref="F39:F41"/>
    <mergeCell ref="G39:G41"/>
    <mergeCell ref="B50:D50"/>
    <mergeCell ref="E50:G50"/>
    <mergeCell ref="H50:H51"/>
    <mergeCell ref="H54:H70"/>
    <mergeCell ref="B55:B58"/>
    <mergeCell ref="C55:C58"/>
    <mergeCell ref="D55:D58"/>
    <mergeCell ref="E55:E58"/>
    <mergeCell ref="F55:F58"/>
    <mergeCell ref="G55:G58"/>
    <mergeCell ref="A56:A58"/>
    <mergeCell ref="B59:B62"/>
    <mergeCell ref="C59:C62"/>
    <mergeCell ref="D59:D62"/>
    <mergeCell ref="E59:E62"/>
    <mergeCell ref="F59:F62"/>
    <mergeCell ref="G59:G62"/>
    <mergeCell ref="A60:A62"/>
    <mergeCell ref="B63:G63"/>
    <mergeCell ref="A64:A66"/>
    <mergeCell ref="B64:B66"/>
    <mergeCell ref="C64:C66"/>
    <mergeCell ref="D64:D66"/>
    <mergeCell ref="E64:E66"/>
    <mergeCell ref="F64:F66"/>
    <mergeCell ref="G64:G66"/>
    <mergeCell ref="A71:G71"/>
    <mergeCell ref="A72:A74"/>
    <mergeCell ref="B72:B74"/>
    <mergeCell ref="C72:C74"/>
    <mergeCell ref="D72:D74"/>
    <mergeCell ref="E72:E74"/>
    <mergeCell ref="F72:F74"/>
    <mergeCell ref="G72:G74"/>
    <mergeCell ref="B67:G67"/>
    <mergeCell ref="A68:A70"/>
    <mergeCell ref="B68:B70"/>
    <mergeCell ref="C68:C70"/>
    <mergeCell ref="D68:D70"/>
    <mergeCell ref="E68:E70"/>
    <mergeCell ref="F68:F70"/>
    <mergeCell ref="G68:G70"/>
    <mergeCell ref="H79:H80"/>
    <mergeCell ref="H83:H99"/>
    <mergeCell ref="B84:B87"/>
    <mergeCell ref="C84:C87"/>
    <mergeCell ref="D84:D87"/>
    <mergeCell ref="E84:E87"/>
    <mergeCell ref="F84:F87"/>
    <mergeCell ref="G84:G87"/>
    <mergeCell ref="B96:G96"/>
    <mergeCell ref="A93:A95"/>
    <mergeCell ref="B93:B95"/>
    <mergeCell ref="C93:C95"/>
    <mergeCell ref="D93:D95"/>
    <mergeCell ref="E93:E95"/>
    <mergeCell ref="F93:F95"/>
    <mergeCell ref="G93:G95"/>
    <mergeCell ref="B79:D79"/>
    <mergeCell ref="E79:G79"/>
    <mergeCell ref="A85:A87"/>
    <mergeCell ref="B88:B91"/>
    <mergeCell ref="C88:C91"/>
    <mergeCell ref="D88:D91"/>
    <mergeCell ref="E88:E91"/>
    <mergeCell ref="F88:F91"/>
    <mergeCell ref="G88:G91"/>
    <mergeCell ref="A89:A91"/>
    <mergeCell ref="B92:G92"/>
    <mergeCell ref="A100:G100"/>
    <mergeCell ref="A101:A103"/>
    <mergeCell ref="B101:B103"/>
    <mergeCell ref="C101:C103"/>
    <mergeCell ref="D101:D103"/>
    <mergeCell ref="E101:E103"/>
    <mergeCell ref="F101:F103"/>
    <mergeCell ref="G101:G103"/>
    <mergeCell ref="A97:A99"/>
    <mergeCell ref="B97:B99"/>
    <mergeCell ref="C97:C99"/>
    <mergeCell ref="D97:D99"/>
    <mergeCell ref="E97:E99"/>
    <mergeCell ref="F97:F99"/>
    <mergeCell ref="G97:G99"/>
  </mergeCells>
  <pageMargins left="0.7" right="0.7" top="0.75" bottom="0.75" header="0.3" footer="0.3"/>
  <ignoredErrors>
    <ignoredError numberStoredAsText="1" sqref="A1:O116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226"/>
  <sheetViews>
    <sheetView workbookViewId="0" rightToLeft="0"/>
  </sheetViews>
  <sheetData>
    <row r="2">
      <c r="O2">
        <f>SUM(O4:O1048576)</f>
        <v>0</v>
      </c>
      <c r="P2">
        <f>SUM(P4:P1048576)</f>
        <v>0</v>
      </c>
      <c r="Q2">
        <f>SUM(Q4:Q1048576)</f>
        <v>0</v>
      </c>
      <c r="R2">
        <f>SUM(R4:R1048576)</f>
        <v>0</v>
      </c>
      <c r="S2">
        <f>SUM(S4:S1048576)</f>
        <v>0</v>
      </c>
      <c r="T2">
        <f>SUM(T4:T1048576)</f>
        <v>0</v>
      </c>
      <c r="U2">
        <f>SUM(U4:U1048576)</f>
        <v>0</v>
      </c>
      <c r="V2" t="str">
        <v xml:space="preserve">Sampled </v>
      </c>
    </row>
    <row r="3">
      <c r="A3" t="str">
        <v xml:space="preserve">Delegate name </v>
      </c>
      <c r="C3" t="str">
        <v xml:space="preserve">Race </v>
      </c>
      <c r="D3" t="str">
        <v>Gender</v>
      </c>
      <c r="E3" t="str">
        <v>Disability  (Yes/No)</v>
      </c>
      <c r="F3" t="str">
        <v>Training Provider</v>
      </c>
      <c r="G3" t="str">
        <v xml:space="preserve">Course  Name </v>
      </c>
      <c r="H3" t="str">
        <v>Category (Learning Matrix)</v>
      </c>
      <c r="I3" t="str">
        <v xml:space="preserve">Direct Costs </v>
      </c>
      <c r="J3" t="str">
        <v xml:space="preserve">Other Costs </v>
      </c>
      <c r="K3" t="str">
        <v xml:space="preserve">Total </v>
      </c>
      <c r="L3" t="str">
        <v>Priority (Yes/No)</v>
      </c>
      <c r="M3" t="str">
        <v>Internal/ External</v>
      </c>
      <c r="N3" t="str">
        <v xml:space="preserve">Notes </v>
      </c>
      <c r="O3" t="str">
        <v>AM</v>
      </c>
      <c r="P3" t="str">
        <v>CM</v>
      </c>
      <c r="Q3" t="str">
        <v>IM</v>
      </c>
      <c r="R3" t="str">
        <v>AF</v>
      </c>
      <c r="S3" t="str">
        <v>CF</v>
      </c>
      <c r="T3" t="str">
        <v>IF</v>
      </c>
      <c r="U3" t="str">
        <v>Black people with Disabilities</v>
      </c>
      <c r="V3" t="str">
        <v xml:space="preserve">Bursary Agreement </v>
      </c>
      <c r="W3" t="str">
        <v>Certified ID</v>
      </c>
      <c r="X3" t="str">
        <v xml:space="preserve">Invoice </v>
      </c>
      <c r="Y3" t="str">
        <v>POP</v>
      </c>
      <c r="Z3" t="str">
        <v xml:space="preserve">Proof Of Registration </v>
      </c>
      <c r="AA3" t="str">
        <v xml:space="preserve">Certificate of completion </v>
      </c>
      <c r="AB3" t="str">
        <v xml:space="preserve">Notes </v>
      </c>
    </row>
  </sheetData>
  <autoFilter ref="A3:AB27"/>
  <mergeCells count="1">
    <mergeCell ref="V2:AB2"/>
  </mergeCells>
  <pageMargins left="0.7" right="0.7" top="0.75" bottom="0.75" header="0.3" footer="0.3"/>
  <ignoredErrors>
    <ignoredError numberStoredAsText="1" sqref="A1:AB2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282"/>
  <sheetViews>
    <sheetView workbookViewId="0" rightToLeft="0"/>
  </sheetViews>
  <sheetData>
    <row r="2">
      <c r="O2">
        <f>SUM(O4:O575)</f>
        <v>0</v>
      </c>
      <c r="P2">
        <f>SUM(P4:P575)</f>
        <v>0</v>
      </c>
      <c r="Q2">
        <f>SUM(Q4:Q575)</f>
        <v>0</v>
      </c>
      <c r="R2">
        <f>SUM(R4:R575)</f>
        <v>0</v>
      </c>
      <c r="S2">
        <f>SUM(S4:S575)</f>
        <v>0</v>
      </c>
      <c r="T2">
        <f>SUM(T4:T575)</f>
        <v>0</v>
      </c>
      <c r="U2">
        <f>SUM(U4:U575)</f>
        <v>0</v>
      </c>
      <c r="V2" t="str">
        <v xml:space="preserve">Sampled </v>
      </c>
    </row>
    <row r="3">
      <c r="A3" t="str">
        <v xml:space="preserve">Delegate name </v>
      </c>
      <c r="B3" t="str">
        <v>Surname</v>
      </c>
      <c r="C3" t="str">
        <v xml:space="preserve">Race </v>
      </c>
      <c r="D3" t="str">
        <v>Gender</v>
      </c>
      <c r="E3" t="str">
        <v>Disability  (Yes/No)</v>
      </c>
      <c r="F3" t="str">
        <v>Training Provider</v>
      </c>
      <c r="G3" t="str">
        <v xml:space="preserve">Course  Name </v>
      </c>
      <c r="H3" t="str">
        <v>Category (Learning Matrix)</v>
      </c>
      <c r="I3" t="str">
        <v xml:space="preserve">Direct Costs </v>
      </c>
      <c r="J3" t="str">
        <v>Other costs</v>
      </c>
      <c r="K3" t="str">
        <v xml:space="preserve">Total </v>
      </c>
      <c r="L3" t="str">
        <v>Priority (Yes/No)</v>
      </c>
      <c r="M3" t="str">
        <v>Internal/ External</v>
      </c>
      <c r="N3" t="str">
        <v xml:space="preserve">Notes </v>
      </c>
      <c r="O3" t="str">
        <v>AM</v>
      </c>
      <c r="P3" t="str">
        <v>CM</v>
      </c>
      <c r="Q3" t="str">
        <v>IM</v>
      </c>
      <c r="R3" t="str">
        <v>AF</v>
      </c>
      <c r="S3" t="str">
        <v>CF</v>
      </c>
      <c r="T3" t="str">
        <v>IF</v>
      </c>
      <c r="U3" t="str">
        <v xml:space="preserve">Black people with disabilities </v>
      </c>
      <c r="V3" t="str">
        <v>Certified ID</v>
      </c>
      <c r="W3" t="str">
        <v>EEA1(Diabled Learners)</v>
      </c>
      <c r="X3" t="str">
        <v>Dr's Letter Confirming Disability</v>
      </c>
      <c r="Y3" t="str">
        <v>Signed Learnership Agreement</v>
      </c>
      <c r="Z3" t="str">
        <v>Signed Employment Contract</v>
      </c>
      <c r="AA3" t="str">
        <v xml:space="preserve">Attandance register /Certificate of completion </v>
      </c>
      <c r="AB3" t="str">
        <v xml:space="preserve">Payslips </v>
      </c>
      <c r="AC3" t="str">
        <v xml:space="preserve">Notes </v>
      </c>
    </row>
  </sheetData>
  <autoFilter ref="A3:N574"/>
  <mergeCells count="1">
    <mergeCell ref="V2:AC2"/>
  </mergeCells>
  <pageMargins left="0.7" right="0.7" top="0.75" bottom="0.75" header="0.3" footer="0.3"/>
  <ignoredErrors>
    <ignoredError numberStoredAsText="1" sqref="A1:AC128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Y114"/>
  <sheetViews>
    <sheetView workbookViewId="0" rightToLeft="0"/>
  </sheetViews>
  <sheetData>
    <row r="2">
      <c r="P2">
        <f>SUM(P4:P586)</f>
        <v>0</v>
      </c>
      <c r="Q2">
        <f>SUM(Q4:Q586)</f>
        <v>0</v>
      </c>
      <c r="R2">
        <f>SUM(R4:R586)</f>
        <v>0</v>
      </c>
      <c r="S2">
        <f>SUM(S4:S586)</f>
        <v>0</v>
      </c>
      <c r="T2">
        <f>SUM(T4:T586)</f>
        <v>0</v>
      </c>
      <c r="U2">
        <f>SUM(U4:U586)</f>
        <v>0</v>
      </c>
      <c r="V2" t="str">
        <v>Sampled Absorption</v>
      </c>
    </row>
    <row r="3">
      <c r="A3" t="str">
        <v xml:space="preserve">Delegate name </v>
      </c>
      <c r="C3" t="str">
        <v xml:space="preserve">Race </v>
      </c>
      <c r="D3" t="str">
        <v>Gender</v>
      </c>
      <c r="E3" t="str">
        <v>Disability  (Yes/No)</v>
      </c>
      <c r="F3" t="str">
        <v>Training Provider</v>
      </c>
      <c r="G3" t="str">
        <v xml:space="preserve">Course  Name </v>
      </c>
      <c r="H3" t="str">
        <v>Category (Learning Matrix)</v>
      </c>
      <c r="I3" t="str">
        <v xml:space="preserve">Direct Costs </v>
      </c>
      <c r="J3" t="str">
        <v xml:space="preserve">Other Costs </v>
      </c>
      <c r="K3" t="str">
        <v xml:space="preserve">Total </v>
      </c>
      <c r="L3" t="str">
        <v xml:space="preserve">Employed/Unemployed </v>
      </c>
      <c r="M3" t="str">
        <v>Priority (Yes/No)</v>
      </c>
      <c r="N3" t="str">
        <v>Internal/ External</v>
      </c>
      <c r="O3" t="str">
        <v xml:space="preserve">Notes </v>
      </c>
      <c r="P3" t="str">
        <v>AM</v>
      </c>
      <c r="Q3" t="str">
        <v>CM</v>
      </c>
      <c r="R3" t="str">
        <v>IM</v>
      </c>
      <c r="S3" t="str">
        <v>AF</v>
      </c>
      <c r="T3" t="str">
        <v>CF</v>
      </c>
      <c r="U3" t="str">
        <v>IF</v>
      </c>
      <c r="V3" t="str">
        <v>Certified ID</v>
      </c>
      <c r="W3" t="str">
        <v>Signed Permanent Employment Contract</v>
      </c>
      <c r="X3" t="str">
        <v xml:space="preserve">Latest Payslips </v>
      </c>
      <c r="Y3" t="str">
        <v xml:space="preserve">Notes </v>
      </c>
    </row>
  </sheetData>
  <autoFilter ref="A3:U586"/>
  <mergeCells count="1">
    <mergeCell ref="V2:Y2"/>
  </mergeCells>
  <pageMargins left="0.7" right="0.7" top="0.75" bottom="0.75" header="0.3" footer="0.3"/>
  <ignoredErrors>
    <ignoredError numberStoredAsText="1" sqref="A1:Y1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Learnerships</v>
      </c>
      <c r="B1" t="str">
        <v>Numbers per Race and Gender</v>
      </c>
    </row>
    <row r="2">
      <c r="A2" t="str">
        <v>Black % AM</v>
      </c>
    </row>
    <row r="3">
      <c r="A3" t="str">
        <v>Black % AF</v>
      </c>
    </row>
    <row r="4">
      <c r="A4" t="str">
        <v>Black % CM</v>
      </c>
    </row>
    <row r="5">
      <c r="A5" t="str">
        <v>Black % CF</v>
      </c>
    </row>
    <row r="6">
      <c r="A6" t="str">
        <v>Black % IM</v>
      </c>
    </row>
    <row r="7">
      <c r="A7" t="str">
        <v>Black % IF</v>
      </c>
    </row>
    <row r="8">
      <c r="A8" t="str">
        <v>Other Race Groups (M+F)</v>
      </c>
    </row>
    <row r="9">
      <c r="A9" t="str">
        <v>Total Employees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Z6941"/>
  <sheetViews>
    <sheetView workbookViewId="0" rightToLeft="0"/>
  </sheetViews>
  <sheetData>
    <row r="1">
      <c r="O1">
        <f>SUM(O3:O1048576)</f>
        <v>0</v>
      </c>
      <c r="P1">
        <f>SUM(P3:P1048576)</f>
        <v>0</v>
      </c>
      <c r="Q1">
        <f>SUM(Q3:Q1048576)</f>
        <v>0</v>
      </c>
      <c r="R1">
        <f>SUM(R3:R1048576)</f>
        <v>0</v>
      </c>
      <c r="S1">
        <f>SUM(S3:S1048576)</f>
        <v>0</v>
      </c>
      <c r="T1">
        <f>SUM(T3:T1048576)</f>
        <v>0</v>
      </c>
      <c r="U1">
        <f>SUM(U3:U1048576)</f>
        <v>0</v>
      </c>
      <c r="V1" t="str">
        <v xml:space="preserve">Sampled </v>
      </c>
    </row>
    <row r="2">
      <c r="A2" t="str">
        <v xml:space="preserve">Delegate name </v>
      </c>
      <c r="C2" t="str">
        <v xml:space="preserve">Race </v>
      </c>
      <c r="D2" t="str">
        <v>Gender</v>
      </c>
      <c r="E2" t="str">
        <v>Disability  (Yes/No)</v>
      </c>
      <c r="F2" t="str">
        <v>Training Provider</v>
      </c>
      <c r="G2" t="str">
        <v xml:space="preserve">Course  Name </v>
      </c>
      <c r="H2" t="str">
        <v>Category (Learning Matrix)</v>
      </c>
      <c r="I2" t="str">
        <v xml:space="preserve">Direct Costs </v>
      </c>
      <c r="J2" t="str">
        <v xml:space="preserve">Other Costs </v>
      </c>
      <c r="K2" t="str">
        <v xml:space="preserve">Total </v>
      </c>
      <c r="L2" t="str">
        <v>Priority (Yes/No)</v>
      </c>
      <c r="M2" t="str">
        <v>Internal/ External</v>
      </c>
      <c r="N2" t="str">
        <v xml:space="preserve">Notes </v>
      </c>
      <c r="O2" t="str">
        <v>AM</v>
      </c>
      <c r="P2" t="str">
        <v>CM</v>
      </c>
      <c r="Q2" t="str">
        <v>IM</v>
      </c>
      <c r="R2" t="str">
        <v>AF</v>
      </c>
      <c r="S2" t="str">
        <v>CF</v>
      </c>
      <c r="T2" t="str">
        <v>IF</v>
      </c>
      <c r="U2" t="str">
        <v xml:space="preserve">Black people with disabilities </v>
      </c>
      <c r="V2" t="str">
        <v xml:space="preserve">Certified ID </v>
      </c>
      <c r="W2" t="str">
        <v>Attendance register/Certificate of Completion</v>
      </c>
      <c r="X2" t="str">
        <v xml:space="preserve">Invoices </v>
      </c>
      <c r="Y2" t="str">
        <v>POP</v>
      </c>
      <c r="Z2" t="str">
        <v xml:space="preserve">Notes </v>
      </c>
    </row>
  </sheetData>
  <autoFilter ref="A2:N6940"/>
  <mergeCells count="1">
    <mergeCell ref="V1:Z1"/>
  </mergeCells>
  <pageMargins left="0.7" right="0.7" top="0.75" bottom="0.75" header="0.3" footer="0.3"/>
  <ignoredErrors>
    <ignoredError numberStoredAsText="1" sqref="A1:Z694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32"/>
  <sheetViews>
    <sheetView workbookViewId="0" rightToLeft="0"/>
  </sheetViews>
  <sheetData>
    <row r="1">
      <c r="A1" t="str">
        <v>MONTH</v>
      </c>
      <c r="B1" t="str">
        <v>PAYE</v>
      </c>
      <c r="C1" t="str">
        <v>SDL</v>
      </c>
      <c r="D1" t="str">
        <v>UIF</v>
      </c>
      <c r="E1" t="str">
        <v>TOTAL</v>
      </c>
    </row>
    <row r="2">
      <c r="A2" t="str">
        <v>MAR</v>
      </c>
    </row>
    <row r="3">
      <c r="A3" t="str">
        <v>APR</v>
      </c>
    </row>
    <row r="4">
      <c r="A4" t="str">
        <v>MAY</v>
      </c>
    </row>
    <row r="5">
      <c r="A5" t="str">
        <v>JUN</v>
      </c>
    </row>
    <row r="6">
      <c r="A6" t="str">
        <v>JUL</v>
      </c>
    </row>
    <row r="7">
      <c r="A7" t="str">
        <v>AUG</v>
      </c>
    </row>
    <row r="8">
      <c r="A8" t="str">
        <v>SEP</v>
      </c>
    </row>
    <row r="9">
      <c r="A9" t="str">
        <v>OCT</v>
      </c>
    </row>
    <row r="10">
      <c r="A10" t="str">
        <v>NOV</v>
      </c>
    </row>
    <row r="11">
      <c r="A11" t="str">
        <v>DEC</v>
      </c>
    </row>
    <row r="12">
      <c r="A12" t="str">
        <v>JAN</v>
      </c>
    </row>
    <row r="13">
      <c r="A13" t="str">
        <v>FEB</v>
      </c>
    </row>
    <row r="14">
      <c r="A14" t="str">
        <v xml:space="preserve">Total </v>
      </c>
    </row>
    <row r="16">
      <c r="A16" t="str">
        <v xml:space="preserve">Leviable Amount </v>
      </c>
    </row>
    <row r="18">
      <c r="A18" t="str">
        <v>MONTH</v>
      </c>
      <c r="B18" t="str">
        <v>SDL</v>
      </c>
      <c r="C18" t="str">
        <v>Received YES/NO</v>
      </c>
    </row>
    <row r="19">
      <c r="A19" t="str">
        <v>MAR</v>
      </c>
    </row>
    <row r="20">
      <c r="A20" t="str">
        <v>APR</v>
      </c>
    </row>
    <row r="21">
      <c r="A21" t="str">
        <v>MAY</v>
      </c>
    </row>
    <row r="22">
      <c r="A22" t="str">
        <v>JUN</v>
      </c>
    </row>
    <row r="23">
      <c r="A23" t="str">
        <v>JUL</v>
      </c>
    </row>
    <row r="24">
      <c r="A24" t="str">
        <v>AUG</v>
      </c>
    </row>
    <row r="25">
      <c r="A25" t="str">
        <v>SEP</v>
      </c>
    </row>
    <row r="26">
      <c r="A26" t="str">
        <v>OCT</v>
      </c>
    </row>
    <row r="27">
      <c r="A27" t="str">
        <v>NOV</v>
      </c>
    </row>
    <row r="28">
      <c r="A28" t="str">
        <v>DEC</v>
      </c>
    </row>
    <row r="29">
      <c r="A29" t="str">
        <v>JAN</v>
      </c>
    </row>
    <row r="30">
      <c r="A30" t="str">
        <v>FEB</v>
      </c>
    </row>
    <row r="31">
      <c r="A31" t="str">
        <v xml:space="preserve">Total </v>
      </c>
      <c r="B31">
        <f>SUM(B19:B30)</f>
        <v>0</v>
      </c>
    </row>
    <row r="32">
      <c r="B32">
        <f>B31*100</f>
        <v>0</v>
      </c>
    </row>
  </sheetData>
  <pageMargins left="0.7" right="0.7" top="0.75" bottom="0.75" header="0.3" footer="0.3"/>
  <ignoredErrors>
    <ignoredError numberStoredAsText="1" sqref="A1:G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2">
      <c r="A2" t="str">
        <v>TMPS</v>
      </c>
    </row>
    <row r="3">
      <c r="A3" t="str">
        <v>ITEM</v>
      </c>
      <c r="B3" t="str">
        <v>R</v>
      </c>
    </row>
    <row r="4"/>
    <row r="10">
      <c r="F10" t="str">
        <v>TMPS</v>
      </c>
      <c r="G10">
        <f>'Procurement Scorecard'!O14</f>
        <v>5000000</v>
      </c>
    </row>
    <row r="13">
      <c r="A13" t="str">
        <v xml:space="preserve">Total Inclusions </v>
      </c>
      <c r="B13">
        <f>SUM(B4:B12)</f>
        <v>0</v>
      </c>
    </row>
    <row r="14">
      <c r="A14" t="str">
        <v>Exlusions</v>
      </c>
      <c r="F14" t="str">
        <v xml:space="preserve">All B-BBEE Suppliers </v>
      </c>
      <c r="G14" t="str">
        <v>QSEs</v>
      </c>
      <c r="H14" t="str">
        <v>EMEs</v>
      </c>
      <c r="I14" t="str">
        <v xml:space="preserve">Spend with atleast 51% Black Owned supplier </v>
      </c>
      <c r="J14" t="str">
        <v>spend with atleast 30% Black women owned supplier</v>
      </c>
      <c r="K14" t="str">
        <v xml:space="preserve">Black Designated Groups </v>
      </c>
    </row>
    <row r="15">
      <c r="F15">
        <f>'Procurement Scorecard'!S14</f>
        <v>8100000</v>
      </c>
      <c r="G15">
        <f>'Procurement Scorecard'!U14</f>
        <v>0</v>
      </c>
      <c r="H15">
        <f>'Procurement Scorecard'!T14</f>
        <v>8100000</v>
      </c>
      <c r="I15">
        <f>'Procurement Scorecard'!V14</f>
        <v>8100000</v>
      </c>
      <c r="J15">
        <f>'Procurement Scorecard'!W14</f>
        <v>0</v>
      </c>
      <c r="K15">
        <f>'Procurement Scorecard'!X14</f>
        <v>0</v>
      </c>
    </row>
    <row r="23">
      <c r="A23" t="str">
        <v>Total Exlusions</v>
      </c>
      <c r="B23">
        <f>SUM(B15:B22)</f>
        <v>0</v>
      </c>
    </row>
    <row r="25">
      <c r="A25" t="str">
        <v>Total Measured Procurement Spend</v>
      </c>
      <c r="B25">
        <f>G10</f>
        <v>5000000</v>
      </c>
    </row>
  </sheetData>
  <pageMargins left="0.7" right="0.7" top="0.75" bottom="0.75" header="0.3" footer="0.3"/>
  <ignoredErrors>
    <ignoredError numberStoredAsText="1" sqref="A1:K25"/>
  </ignoredError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628"/>
  <sheetViews>
    <sheetView workbookViewId="0" rightToLeft="0"/>
  </sheetViews>
  <sheetData>
    <row r="1">
      <c r="A1" t="str">
        <v xml:space="preserve">Preferential Procurement </v>
      </c>
      <c r="H1" t="str">
        <v xml:space="preserve">Required Documents </v>
      </c>
      <c r="I1" t="str">
        <v>Checklits - Yes/No</v>
      </c>
    </row>
    <row r="2">
      <c r="A2" t="str">
        <v xml:space="preserve">Measurement Category &amp; Criteria </v>
      </c>
      <c r="B2" t="str">
        <v xml:space="preserve">Target </v>
      </c>
      <c r="C2" t="str">
        <v xml:space="preserve">Available Points </v>
      </c>
      <c r="D2" t="str">
        <v>Achieved %</v>
      </c>
      <c r="E2" t="str">
        <v xml:space="preserve">Points Achieved </v>
      </c>
      <c r="H2" t="str">
        <v>General ledger (sampled suppliers)</v>
      </c>
    </row>
    <row r="3">
      <c r="H3" t="str">
        <v>Invoices(Sampled Suppliers</v>
      </c>
    </row>
    <row r="4">
      <c r="A4" t="str">
        <v xml:space="preserve">Preferential Procurement </v>
      </c>
      <c r="H4" t="str">
        <v>BEE Certificates ( Within the Measurement Period)</v>
      </c>
    </row>
    <row r="5">
      <c r="A5" t="str">
        <v xml:space="preserve">All B-BBEE Suppliers </v>
      </c>
      <c r="B5">
        <v>0.8</v>
      </c>
      <c r="C5">
        <v>5</v>
      </c>
      <c r="D5">
        <f>'7 TMPS '!F15/'7 TMPS '!B25</f>
        <v>1.62</v>
      </c>
      <c r="E5">
        <f>MIN(D5/B5*C5,C5)</f>
        <v>5</v>
      </c>
      <c r="H5" t="str">
        <v>SAD 500</v>
      </c>
    </row>
    <row r="6">
      <c r="A6" t="str">
        <v>From all QSEs</v>
      </c>
      <c r="B6">
        <v>0.15</v>
      </c>
      <c r="C6">
        <v>3</v>
      </c>
      <c r="D6">
        <f>'7 TMPS '!G15/'7 TMPS '!G10</f>
        <v>0</v>
      </c>
      <c r="E6">
        <f>MIN(D6/B6*C6,C6)</f>
        <v>0</v>
      </c>
    </row>
    <row r="7">
      <c r="A7" t="str">
        <v>From all EMEs</v>
      </c>
      <c r="B7">
        <v>0.15</v>
      </c>
      <c r="C7">
        <v>4</v>
      </c>
      <c r="D7">
        <f>'7 TMPS '!H15/'7 TMPS '!G10</f>
        <v>1.62</v>
      </c>
      <c r="E7">
        <f>MIN(D7/B7*C7,C7)</f>
        <v>4</v>
      </c>
    </row>
    <row r="8">
      <c r="A8" t="str">
        <v xml:space="preserve">Spend with atleast 51% Black Owned supplier </v>
      </c>
      <c r="B8">
        <v>0.5</v>
      </c>
      <c r="C8">
        <v>11</v>
      </c>
      <c r="D8">
        <f>'7 TMPS '!I15/'7 TMPS '!G10</f>
        <v>1.62</v>
      </c>
      <c r="E8">
        <f>MIN(D8/B8*C8,C8)</f>
        <v>11</v>
      </c>
    </row>
    <row r="9">
      <c r="A9" t="str">
        <v>spend with atleast 30% Black women owned supplier</v>
      </c>
      <c r="B9">
        <v>0.12</v>
      </c>
      <c r="C9">
        <v>4</v>
      </c>
      <c r="D9">
        <f>'7 TMPS '!J15/'7 TMPS '!G10</f>
        <v>0</v>
      </c>
      <c r="E9">
        <f>MIN(D9/B9*C9,C9)</f>
        <v>0</v>
      </c>
    </row>
    <row r="10">
      <c r="A10" t="str">
        <v xml:space="preserve">Bonus Points </v>
      </c>
    </row>
    <row r="11">
      <c r="A11" t="str">
        <v xml:space="preserve">Spend with atleast 51% black designated group suppliers </v>
      </c>
      <c r="B11">
        <v>0.02</v>
      </c>
      <c r="C11">
        <v>2</v>
      </c>
      <c r="D11">
        <f>'7 TMPS '!K15/'7 TMPS '!G10</f>
        <v>0</v>
      </c>
      <c r="E11">
        <f>MIN(D11/B11*C11,C11)</f>
        <v>0</v>
      </c>
    </row>
    <row r="12">
      <c r="A12" t="str">
        <v xml:space="preserve">Total </v>
      </c>
      <c r="C12">
        <f>SUM(C5:C9)</f>
        <v>27</v>
      </c>
      <c r="E12">
        <f>SUM(E5:E9,E11)</f>
        <v>20</v>
      </c>
    </row>
    <row r="14">
      <c r="O14">
        <f>SUM(O16:O1048576)</f>
        <v>5000000</v>
      </c>
      <c r="S14">
        <f>SUM(S16:S1048576)</f>
        <v>8100000</v>
      </c>
      <c r="T14">
        <f>SUM(T16:T1048576)</f>
        <v>8100000</v>
      </c>
      <c r="U14">
        <f>SUM(U16:U1048576)</f>
        <v>0</v>
      </c>
      <c r="V14">
        <f>SUM(V16:V1048576)</f>
        <v>8100000</v>
      </c>
      <c r="W14">
        <f>SUM(W16:W1048576)</f>
        <v>0</v>
      </c>
      <c r="X14">
        <f>SUM(X16:X1048576)</f>
        <v>0</v>
      </c>
      <c r="Y14" t="str">
        <v xml:space="preserve">Sampled </v>
      </c>
    </row>
    <row r="15">
      <c r="A15" t="str">
        <v>Vat Number</v>
      </c>
      <c r="B15" t="str">
        <v>Company Registation</v>
      </c>
      <c r="C15" t="str">
        <v>Supplier Name</v>
      </c>
      <c r="D15" t="str">
        <v>Empower</v>
      </c>
      <c r="E15" t="str">
        <v>TYPE</v>
      </c>
      <c r="F15" t="str">
        <v>Level</v>
      </c>
      <c r="G15" t="str">
        <v>51% BO</v>
      </c>
      <c r="H15" t="str">
        <v>30'% BFO</v>
      </c>
      <c r="I15" t="str">
        <v>51% BDGS</v>
      </c>
      <c r="J15" t="str">
        <v>BO etc</v>
      </c>
      <c r="K15" t="str">
        <v>FTS</v>
      </c>
      <c r="L15" t="str">
        <v>DES</v>
      </c>
      <c r="M15" t="str">
        <v>Expiry</v>
      </c>
      <c r="N15" t="str">
        <v>PROP</v>
      </c>
      <c r="O15" t="str">
        <v>Value (Exc VAT)</v>
      </c>
      <c r="P15" t="str">
        <v>51% Flow Yes or no</v>
      </c>
      <c r="Q15" t="str">
        <v>Supplier code</v>
      </c>
      <c r="R15" t="str">
        <v>B-BBEE Recognition %</v>
      </c>
      <c r="S15" t="str">
        <v xml:space="preserve">B-BBEE Spend </v>
      </c>
      <c r="T15" t="str">
        <v xml:space="preserve">EME </v>
      </c>
      <c r="U15" t="str">
        <v>QSE</v>
      </c>
      <c r="V15" t="str">
        <v>51% Black Owned</v>
      </c>
      <c r="W15" t="str">
        <v xml:space="preserve">30% Black Women Owned </v>
      </c>
      <c r="X15" t="str">
        <v xml:space="preserve">51% BDGS </v>
      </c>
      <c r="Y15" t="str">
        <v xml:space="preserve">Ledgers </v>
      </c>
      <c r="Z15" t="str">
        <v xml:space="preserve">Invoices </v>
      </c>
      <c r="AA15" t="str">
        <v xml:space="preserve">BEE Certificates </v>
      </c>
    </row>
    <row r="16">
      <c r="C16" t="str">
        <v>infini colin</v>
      </c>
      <c r="E16" t="str">
        <v xml:space="preserve">eme </v>
      </c>
      <c r="F16">
        <v>1</v>
      </c>
      <c r="G16" t="str">
        <v>Yes</v>
      </c>
      <c r="H16" t="str">
        <v>no</v>
      </c>
      <c r="I16" t="str">
        <v>no</v>
      </c>
      <c r="O16">
        <v>5000000</v>
      </c>
      <c r="P16" t="str">
        <v>Yes</v>
      </c>
      <c r="R16">
        <v>1.35</v>
      </c>
      <c r="S16">
        <f>R16*O16*1.2</f>
        <v>8100000</v>
      </c>
      <c r="T16">
        <f>S16</f>
        <v>8100000</v>
      </c>
      <c r="V16">
        <f>T16</f>
        <v>8100000</v>
      </c>
    </row>
  </sheetData>
  <autoFilter ref="A15:AA195"/>
  <mergeCells count="9">
    <mergeCell ref="Y14:AA14"/>
    <mergeCell ref="A1:E1"/>
    <mergeCell ref="A4:E4"/>
    <mergeCell ref="A10:E10"/>
    <mergeCell ref="A2:A3"/>
    <mergeCell ref="B2:B3"/>
    <mergeCell ref="C2:C3"/>
    <mergeCell ref="D2:D3"/>
    <mergeCell ref="E2:E3"/>
  </mergeCells>
  <pageMargins left="0.7" right="0.7" top="0.75" bottom="0.75" header="0.3" footer="0.3"/>
  <ignoredErrors>
    <ignoredError numberStoredAsText="1" sqref="A1:AB62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3:M23"/>
  <sheetViews>
    <sheetView workbookViewId="0" rightToLeft="0"/>
  </sheetViews>
  <sheetData>
    <row r="3">
      <c r="A3" t="str">
        <v>Period:</v>
      </c>
    </row>
    <row r="4">
      <c r="J4" t="str">
        <v xml:space="preserve">Sampled </v>
      </c>
    </row>
    <row r="5">
      <c r="A5" t="str">
        <v>Vendor Name</v>
      </c>
      <c r="B5" t="str">
        <v>International Vendor/Local Vendor</v>
      </c>
      <c r="C5" t="str">
        <v>Exclusion Y/N - Vendor Type</v>
      </c>
      <c r="D5" t="str">
        <v>G/L Ac</v>
      </c>
      <c r="E5" t="str">
        <v>BEE Level</v>
      </c>
      <c r="F5" t="str">
        <v>Black Owned</v>
      </c>
      <c r="G5" t="str">
        <v>Black Woman Owned</v>
      </c>
      <c r="H5" t="str">
        <v>BEE Enterprise</v>
      </c>
      <c r="I5" t="str">
        <v>Sum of Amt. in LC</v>
      </c>
      <c r="J5" t="str">
        <v xml:space="preserve">Ledgers </v>
      </c>
      <c r="K5" t="str">
        <v xml:space="preserve">3 Invoices </v>
      </c>
      <c r="L5" t="str">
        <v>SAD 500</v>
      </c>
      <c r="M5" t="str">
        <v>Notes</v>
      </c>
    </row>
  </sheetData>
  <mergeCells count="1">
    <mergeCell ref="J4:M4"/>
  </mergeCells>
  <pageMargins left="0.7" right="0.7" top="0.75" bottom="0.75" header="0.3" footer="0.3"/>
  <ignoredErrors>
    <ignoredError numberStoredAsText="1" sqref="A3:M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2:I61"/>
  <sheetViews>
    <sheetView workbookViewId="0" rightToLeft="0"/>
  </sheetViews>
  <sheetData>
    <row r="2">
      <c r="A2" t="str">
        <v xml:space="preserve">Measurement Category &amp; Criteria </v>
      </c>
      <c r="B2" t="str">
        <v xml:space="preserve">Target </v>
      </c>
      <c r="C2" t="str">
        <v xml:space="preserve">Available Points </v>
      </c>
      <c r="D2" t="str">
        <v>Achieved %</v>
      </c>
      <c r="E2" t="str">
        <v xml:space="preserve">Points Achieved </v>
      </c>
    </row>
    <row r="4">
      <c r="A4" t="str">
        <v>Enterprise Development</v>
      </c>
    </row>
    <row r="5">
      <c r="A5" t="str">
        <v>Enterprise Development support in line with approved milestones per beneficiary enterprise. Target based on Net Profit after Tax (NPAT)</v>
      </c>
      <c r="B5">
        <v>0.01</v>
      </c>
      <c r="C5">
        <v>5</v>
      </c>
      <c r="D5">
        <f>C39/B19</f>
        <v>0.00725</v>
      </c>
      <c r="E5" t="e">
        <f>MIN(D5/B5*C5,C5)</f>
        <v>#DIV/0!</v>
      </c>
    </row>
    <row r="7">
      <c r="A7" t="str">
        <v xml:space="preserve">Supplier Management </v>
      </c>
    </row>
    <row r="8">
      <c r="A8" t="str">
        <v xml:space="preserve">Supplier Management support for Qualifying core or specialist services/products suppliers in line with approved milestones per beneficiary enterprise. Target based on Net profit after tax </v>
      </c>
      <c r="B8">
        <v>0.02</v>
      </c>
      <c r="C8">
        <v>10</v>
      </c>
      <c r="D8">
        <f>C60/B19</f>
        <v>0.0145</v>
      </c>
      <c r="E8" t="e">
        <f>MIN(D8/B8*C8,C8)</f>
        <v>#DIV/0!</v>
      </c>
    </row>
    <row r="10">
      <c r="A10" t="str">
        <v xml:space="preserve">Bonus Points </v>
      </c>
    </row>
    <row r="11">
      <c r="A11" t="str">
        <v xml:space="preserve">Job Creation </v>
      </c>
      <c r="B11" t="str">
        <v>Yes/No</v>
      </c>
      <c r="C11">
        <v>1</v>
      </c>
    </row>
    <row r="13">
      <c r="A13" t="str">
        <v xml:space="preserve">Graduation from Enterprise Development to Supplier Development </v>
      </c>
      <c r="B13" t="str">
        <v>Yes/No</v>
      </c>
      <c r="C13">
        <v>1</v>
      </c>
    </row>
    <row r="15">
      <c r="A15" t="str">
        <v xml:space="preserve"> 11% more new jobs created as a result of ESD Innitiatives </v>
      </c>
      <c r="B15" t="str">
        <v>Yes/No</v>
      </c>
      <c r="C15">
        <v>2</v>
      </c>
    </row>
    <row r="17">
      <c r="A17" t="str">
        <v xml:space="preserve">Total </v>
      </c>
      <c r="C17" cm="1">
        <f t="array" ref="C17:C18">'Procurement Scorecard'!E12+'ED &amp; SD'!C5:C6+'ED &amp; SD'!C8:C9</f>
        <v>35</v>
      </c>
      <c r="E17" t="e">
        <f>SUM(E5,E8,E11,E13)</f>
        <v>#DIV/0!</v>
      </c>
    </row>
    <row r="18">
      <c r="C18">
        <v>20</v>
      </c>
    </row>
    <row r="19">
      <c r="A19" t="str">
        <v>Net Profit Tax</v>
      </c>
      <c r="B19">
        <f>'NPAT Calculation'!B27</f>
        <v>2000000</v>
      </c>
    </row>
    <row r="23">
      <c r="A23" t="str">
        <v xml:space="preserve">Enterprise Development and Supplier Development </v>
      </c>
      <c r="D23" t="str">
        <v xml:space="preserve">Sampled </v>
      </c>
    </row>
    <row r="24">
      <c r="A24" t="str">
        <v xml:space="preserve">Beneficiary Name </v>
      </c>
      <c r="B24" t="str">
        <v xml:space="preserve">Type of contribution </v>
      </c>
      <c r="C24" t="str">
        <v>Enterprise Development (R amount)</v>
      </c>
      <c r="D24" t="str">
        <v xml:space="preserve">BEE Certificate </v>
      </c>
      <c r="E24" t="str">
        <v xml:space="preserve">Signed ED Agreements </v>
      </c>
      <c r="F24" t="str">
        <v xml:space="preserve">Letter of Aprreciation  </v>
      </c>
      <c r="G24" t="str">
        <v xml:space="preserve">Invoice </v>
      </c>
      <c r="H24" t="str">
        <v>POP</v>
      </c>
      <c r="I24" t="str">
        <v xml:space="preserve">Notes </v>
      </c>
    </row>
    <row r="25">
      <c r="A25" t="str">
        <v>Golden Test ED Beneficiary A</v>
      </c>
      <c r="B25" t="str">
        <v>Grant</v>
      </c>
      <c r="C25">
        <v>9000</v>
      </c>
    </row>
    <row r="26">
      <c r="A26" t="str">
        <v>Golden Test ED Beneficiary B</v>
      </c>
      <c r="B26" t="str">
        <v>Grant</v>
      </c>
      <c r="C26">
        <v>5500</v>
      </c>
    </row>
    <row r="39">
      <c r="C39">
        <f>SUM(C25:C38)</f>
        <v>14500</v>
      </c>
    </row>
    <row r="42">
      <c r="A42" t="str">
        <v xml:space="preserve">Supplier Development </v>
      </c>
      <c r="D42" t="str">
        <v xml:space="preserve">Sampled </v>
      </c>
    </row>
    <row r="43">
      <c r="A43" t="str">
        <v xml:space="preserve">Beneficiary Name </v>
      </c>
      <c r="B43" t="str">
        <v xml:space="preserve">Type of contribution </v>
      </c>
      <c r="C43" t="str">
        <v>Supplier  Development (R amount)</v>
      </c>
      <c r="D43" t="str">
        <v xml:space="preserve">BEE Certificate </v>
      </c>
      <c r="E43" t="str">
        <v xml:space="preserve">Signed SD Agreements </v>
      </c>
      <c r="F43" t="str">
        <v xml:space="preserve">Letter of Aprreciation  </v>
      </c>
      <c r="G43" t="str">
        <v xml:space="preserve">Invoice </v>
      </c>
      <c r="H43" t="str">
        <v>POP</v>
      </c>
      <c r="I43" t="str">
        <v xml:space="preserve">Notes </v>
      </c>
    </row>
    <row r="45">
      <c r="A45" t="str">
        <v>Golden Test SD Beneficiary A</v>
      </c>
      <c r="B45" t="str">
        <v>Grant</v>
      </c>
      <c r="C45">
        <v>18000</v>
      </c>
    </row>
    <row r="46">
      <c r="A46" t="str">
        <v>Golden Test SD Beneficiary B</v>
      </c>
      <c r="B46" t="str">
        <v>Grant</v>
      </c>
      <c r="C46">
        <v>11000</v>
      </c>
    </row>
    <row r="60">
      <c r="C60">
        <f>SUM(C45:C59)</f>
        <v>29000</v>
      </c>
    </row>
  </sheetData>
  <mergeCells count="38">
    <mergeCell ref="D23:I23"/>
    <mergeCell ref="D42:I42"/>
    <mergeCell ref="A5:A6"/>
    <mergeCell ref="B5:B6"/>
    <mergeCell ref="C5:C6"/>
    <mergeCell ref="D5:D6"/>
    <mergeCell ref="E5:E6"/>
    <mergeCell ref="F5:F6"/>
    <mergeCell ref="A10:E10"/>
    <mergeCell ref="A11:A12"/>
    <mergeCell ref="B11:B12"/>
    <mergeCell ref="C11:C12"/>
    <mergeCell ref="D11:D12"/>
    <mergeCell ref="E11:E12"/>
    <mergeCell ref="C15:C16"/>
    <mergeCell ref="D15:D16"/>
    <mergeCell ref="F2:F3"/>
    <mergeCell ref="F8:F9"/>
    <mergeCell ref="A4:E4"/>
    <mergeCell ref="A7:E7"/>
    <mergeCell ref="A8:A9"/>
    <mergeCell ref="B8:B9"/>
    <mergeCell ref="C8:C9"/>
    <mergeCell ref="D8:D9"/>
    <mergeCell ref="E8:E9"/>
    <mergeCell ref="A2:A3"/>
    <mergeCell ref="B2:B3"/>
    <mergeCell ref="C2:C3"/>
    <mergeCell ref="D2:D3"/>
    <mergeCell ref="E2:E3"/>
    <mergeCell ref="E15:E16"/>
    <mergeCell ref="E13:E14"/>
    <mergeCell ref="A13:A14"/>
    <mergeCell ref="B13:B14"/>
    <mergeCell ref="C13:C14"/>
    <mergeCell ref="D13:D14"/>
    <mergeCell ref="A15:A16"/>
    <mergeCell ref="B15:B16"/>
  </mergeCells>
  <pageMargins left="0.7" right="0.7" top="0.75" bottom="0.75" header="0.3" footer="0.3"/>
  <ignoredErrors>
    <ignoredError numberStoredAsText="1" sqref="A2:I6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2:J34"/>
  <sheetViews>
    <sheetView workbookViewId="0" rightToLeft="0"/>
  </sheetViews>
  <sheetData>
    <row r="2">
      <c r="A2" t="str">
        <v xml:space="preserve">Measurement Category &amp; Criteria </v>
      </c>
      <c r="B2" t="str">
        <v xml:space="preserve">Target </v>
      </c>
      <c r="C2" t="str">
        <v xml:space="preserve">Available Points </v>
      </c>
      <c r="D2" t="str">
        <v>Achieved %</v>
      </c>
      <c r="E2" t="str">
        <v xml:space="preserve">Points Achieved </v>
      </c>
    </row>
    <row r="4">
      <c r="A4" t="str">
        <v xml:space="preserve">Socio-Economic Development </v>
      </c>
    </row>
    <row r="5">
      <c r="A5" t="str">
        <v>Socio-Economic Development support measured against NPAT</v>
      </c>
      <c r="B5">
        <v>0.01</v>
      </c>
      <c r="C5">
        <v>5</v>
      </c>
      <c r="D5">
        <f>C28/B9</f>
        <v>0.006</v>
      </c>
      <c r="E5" t="e">
        <f>MIN(D5/B5*C5,C5)</f>
        <v>#DIV/0!</v>
      </c>
    </row>
    <row r="7">
      <c r="A7" t="str">
        <v xml:space="preserve">Total </v>
      </c>
      <c r="C7">
        <v>5</v>
      </c>
      <c r="E7" t="e">
        <f>E5</f>
        <v>#DIV/0!</v>
      </c>
    </row>
    <row r="9">
      <c r="A9" t="str">
        <v>Net Profit Tax</v>
      </c>
      <c r="B9">
        <f>'NPAT Calculation'!B27</f>
        <v>2000000</v>
      </c>
    </row>
    <row r="11">
      <c r="A11" t="str">
        <v xml:space="preserve">Socio Economic Development </v>
      </c>
      <c r="E11" t="str">
        <v xml:space="preserve">Sampled </v>
      </c>
    </row>
    <row r="12">
      <c r="A12" t="str">
        <v xml:space="preserve">Qualifying Beneficiaries </v>
      </c>
      <c r="B12" t="str">
        <v xml:space="preserve">Claimed </v>
      </c>
      <c r="C12" t="str">
        <v xml:space="preserve">Recognised Amount </v>
      </c>
      <c r="D12" t="str">
        <v xml:space="preserve">Notes </v>
      </c>
      <c r="E12" t="str">
        <v xml:space="preserve">Affidavit </v>
      </c>
      <c r="F12" t="str">
        <v xml:space="preserve">Letter of gratitude </v>
      </c>
      <c r="G12" t="str">
        <v xml:space="preserve">Invoice </v>
      </c>
      <c r="H12" t="str">
        <v>POP</v>
      </c>
    </row>
    <row r="13">
      <c r="A13" t="str">
        <v>Golden Test SED Beneficiary A</v>
      </c>
      <c r="B13">
        <v>7500</v>
      </c>
      <c r="C13">
        <v>6000</v>
      </c>
    </row>
    <row r="14">
      <c r="A14" t="str">
        <v>Golden Test SED Beneficiary B</v>
      </c>
      <c r="B14">
        <v>5000</v>
      </c>
      <c r="C14">
        <v>4500</v>
      </c>
    </row>
    <row r="15">
      <c r="A15" t="str">
        <v>Golden Test SED Beneficiary C</v>
      </c>
      <c r="B15">
        <v>2000</v>
      </c>
      <c r="C15">
        <v>1500</v>
      </c>
    </row>
    <row r="28">
      <c r="A28" t="str">
        <v xml:space="preserve">Total </v>
      </c>
      <c r="C28">
        <f>SUM(C13:C27)</f>
        <v>12000</v>
      </c>
    </row>
    <row r="30">
      <c r="A30" t="str">
        <v>Revenue</v>
      </c>
    </row>
    <row r="32">
      <c r="A32" t="str">
        <v>Target</v>
      </c>
      <c r="B32">
        <f>B9*1%</f>
        <v>20000</v>
      </c>
    </row>
    <row r="33">
      <c r="A33" t="str">
        <v xml:space="preserve">Actual </v>
      </c>
      <c r="B33">
        <f>C28</f>
        <v>12000</v>
      </c>
    </row>
    <row r="34">
      <c r="A34" t="str">
        <v>Gap</v>
      </c>
      <c r="B34">
        <f>B32-B33</f>
        <v>8000</v>
      </c>
    </row>
  </sheetData>
  <mergeCells count="19">
    <mergeCell ref="F2:F3"/>
    <mergeCell ref="A4:E4"/>
    <mergeCell ref="E11:I11"/>
    <mergeCell ref="A11:D11"/>
    <mergeCell ref="H2:H3"/>
    <mergeCell ref="H5:H6"/>
    <mergeCell ref="G2:G3"/>
    <mergeCell ref="A5:A6"/>
    <mergeCell ref="B5:B6"/>
    <mergeCell ref="C5:C6"/>
    <mergeCell ref="D5:D6"/>
    <mergeCell ref="E5:E6"/>
    <mergeCell ref="F5:F6"/>
    <mergeCell ref="G5:G6"/>
    <mergeCell ref="A2:A3"/>
    <mergeCell ref="B2:B3"/>
    <mergeCell ref="C2:C3"/>
    <mergeCell ref="D2:D3"/>
    <mergeCell ref="E2:E3"/>
  </mergeCells>
  <pageMargins left="0.7" right="0.7" top="0.75" bottom="0.75" header="0.3" footer="0.3"/>
  <ignoredErrors>
    <ignoredError numberStoredAsText="1" sqref="A2:J3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70"/>
  <sheetViews>
    <sheetView workbookViewId="0" rightToLeft="0"/>
  </sheetViews>
  <sheetData>
    <row r="1">
      <c r="A1" t="str">
        <v xml:space="preserve"> -BBBEE Generic Scorecard </v>
      </c>
    </row>
    <row r="2">
      <c r="A2" t="str">
        <v xml:space="preserve">Ownership </v>
      </c>
    </row>
    <row r="3">
      <c r="A3" t="str">
        <v>Indicator</v>
      </c>
      <c r="B3" t="str">
        <v xml:space="preserve">Target Percentage </v>
      </c>
      <c r="C3" t="str">
        <v>Available points</v>
      </c>
      <c r="D3" t="str">
        <v xml:space="preserve">Percentage Achieved </v>
      </c>
      <c r="E3" t="str">
        <v xml:space="preserve">Points Achieved </v>
      </c>
    </row>
    <row r="4">
      <c r="A4" t="str">
        <v xml:space="preserve">Voting rights </v>
      </c>
    </row>
    <row r="5">
      <c r="A5" t="str">
        <v>Black People</v>
      </c>
      <c r="B5" t="str">
        <v>25+1%</v>
      </c>
      <c r="C5">
        <v>4</v>
      </c>
      <c r="D5">
        <f>Ownership!D4</f>
        <v>0.25</v>
      </c>
      <c r="E5">
        <f>MIN(D5/25.1%*C5,C5)</f>
        <v>3.9840637450199203</v>
      </c>
    </row>
    <row r="6">
      <c r="A6" t="str">
        <v xml:space="preserve">Black Women </v>
      </c>
      <c r="B6">
        <v>0.1</v>
      </c>
      <c r="C6">
        <v>2</v>
      </c>
      <c r="D6">
        <f>Ownership!D5</f>
        <v>0</v>
      </c>
      <c r="E6">
        <f>MIN(D6/B6*C6,C6)</f>
        <v>0</v>
      </c>
    </row>
    <row r="7">
      <c r="A7" t="str">
        <v xml:space="preserve">Economic Interest </v>
      </c>
    </row>
    <row r="8">
      <c r="A8" t="str">
        <v>Black People</v>
      </c>
      <c r="B8">
        <v>0.25</v>
      </c>
      <c r="C8">
        <v>4</v>
      </c>
      <c r="D8">
        <f>Ownership!D6</f>
        <v>0.25</v>
      </c>
      <c r="E8">
        <f>MIN(D8/B8*C8,C8)</f>
        <v>4</v>
      </c>
    </row>
    <row r="9">
      <c r="A9" t="str">
        <v xml:space="preserve">Black Women </v>
      </c>
      <c r="B9">
        <v>0.1</v>
      </c>
      <c r="C9">
        <v>2</v>
      </c>
      <c r="D9">
        <f>Ownership!D7</f>
        <v>0</v>
      </c>
      <c r="E9">
        <f>MIN(D9/B9*C9,C9)</f>
        <v>0</v>
      </c>
    </row>
    <row r="10">
      <c r="A10" t="str">
        <v>Black Designated Groups, ESOPS, BBOS</v>
      </c>
      <c r="B10">
        <v>0.03</v>
      </c>
      <c r="C10">
        <v>3</v>
      </c>
      <c r="D10">
        <f>Ownership!D8</f>
        <v>0</v>
      </c>
      <c r="E10">
        <f>MIN(D10/B10*C10,C10)</f>
        <v>0</v>
      </c>
    </row>
    <row r="11">
      <c r="A11" t="str">
        <v xml:space="preserve">Black New Entrants </v>
      </c>
      <c r="B11">
        <v>0.02</v>
      </c>
      <c r="C11">
        <v>2</v>
      </c>
      <c r="D11">
        <f>Ownership!D10</f>
        <v>0</v>
      </c>
      <c r="E11">
        <f>MIN(D11/B11*C11,C11)</f>
        <v>0</v>
      </c>
    </row>
    <row r="12">
      <c r="A12" t="str">
        <v xml:space="preserve">Net Value </v>
      </c>
    </row>
    <row r="13">
      <c r="A13" t="str">
        <v xml:space="preserve">Black People </v>
      </c>
      <c r="B13">
        <v>0.25</v>
      </c>
      <c r="C13">
        <v>8</v>
      </c>
      <c r="D13">
        <f>Ownership!D11</f>
        <v>0.25</v>
      </c>
      <c r="E13">
        <f>Ownership!E11</f>
        <v>8</v>
      </c>
    </row>
    <row r="14">
      <c r="A14" t="str">
        <v>Total</v>
      </c>
      <c r="C14">
        <f>SUM(C5,C6,C8,C9,C10,C11,C13)</f>
        <v>25</v>
      </c>
      <c r="E14">
        <f>SUM(E5,E6,E8,E9,E10,E11,E13)</f>
        <v>15.98406374501992</v>
      </c>
    </row>
    <row r="15">
      <c r="A15" t="str">
        <v xml:space="preserve">Management Control </v>
      </c>
    </row>
    <row r="16">
      <c r="A16" t="str">
        <v xml:space="preserve">Board Representation </v>
      </c>
    </row>
    <row r="17">
      <c r="A17" t="str">
        <v>Black People</v>
      </c>
      <c r="B17">
        <v>0.5</v>
      </c>
      <c r="C17">
        <v>2</v>
      </c>
      <c r="D17" t="e">
        <f>'Management Control'!G4/'Management Control'!G5</f>
        <v>#DIV/0!</v>
      </c>
      <c r="E17" t="e">
        <f>MIN(D17/B17*C17,C17)</f>
        <v>#DIV/0!</v>
      </c>
    </row>
    <row r="18">
      <c r="A18" t="str">
        <v xml:space="preserve">Black Women </v>
      </c>
      <c r="B18">
        <v>0.25</v>
      </c>
      <c r="C18">
        <v>1</v>
      </c>
      <c r="D18" t="e">
        <f>'Management Control'!G7/'Management Control'!G8</f>
        <v>#DIV/0!</v>
      </c>
      <c r="E18" t="e">
        <f>MIN(D18/B18*C18,C18)</f>
        <v>#DIV/0!</v>
      </c>
    </row>
    <row r="19">
      <c r="A19" t="str">
        <v>Executive Directors</v>
      </c>
    </row>
    <row r="20">
      <c r="A20" t="str">
        <v>Black People</v>
      </c>
      <c r="B20">
        <v>0.5</v>
      </c>
      <c r="C20">
        <v>2</v>
      </c>
      <c r="D20" t="e">
        <f>'Management Control'!G10/'Management Control'!G11</f>
        <v>#DIV/0!</v>
      </c>
      <c r="E20" t="e">
        <f>MIN(D20/B20*C20,C20)</f>
        <v>#DIV/0!</v>
      </c>
    </row>
    <row r="21">
      <c r="A21" t="str">
        <v xml:space="preserve">Black Women </v>
      </c>
      <c r="B21">
        <v>0.25</v>
      </c>
      <c r="C21">
        <v>1</v>
      </c>
      <c r="D21" t="e">
        <f>'Management Control'!G13/'Management Control'!G14</f>
        <v>#DIV/0!</v>
      </c>
      <c r="E21" t="e">
        <f>MIN(D21/B21*C21,C21)</f>
        <v>#DIV/0!</v>
      </c>
    </row>
    <row r="22">
      <c r="A22" t="str">
        <v xml:space="preserve">Other Executive Management </v>
      </c>
    </row>
    <row r="23">
      <c r="A23" t="str">
        <v xml:space="preserve">Black People </v>
      </c>
      <c r="B23">
        <v>0.6</v>
      </c>
      <c r="C23">
        <v>2</v>
      </c>
      <c r="D23" t="e">
        <f>'Management Control'!G16/'Management Control'!G17</f>
        <v>#DIV/0!</v>
      </c>
      <c r="E23" t="e">
        <f>MIN(D23/B23*C23,C23)</f>
        <v>#DIV/0!</v>
      </c>
    </row>
    <row r="24">
      <c r="A24" t="str">
        <v xml:space="preserve">Black Women </v>
      </c>
      <c r="B24">
        <v>0.3</v>
      </c>
      <c r="C24">
        <v>1</v>
      </c>
      <c r="D24" t="e">
        <f>'Management Control'!G19/'Management Control'!G20</f>
        <v>#DIV/0!</v>
      </c>
      <c r="E24" t="e">
        <f>MIN(D24/B24*C24,C24)</f>
        <v>#DIV/0!</v>
      </c>
    </row>
    <row r="25">
      <c r="A25" t="str">
        <v xml:space="preserve">Senior Management </v>
      </c>
    </row>
    <row r="26">
      <c r="A26" t="str">
        <v xml:space="preserve">Black People </v>
      </c>
      <c r="B26">
        <v>0.6</v>
      </c>
      <c r="C26">
        <v>2</v>
      </c>
      <c r="D26" t="e">
        <f>E26/C26*B26</f>
        <v>#DIV/0!</v>
      </c>
      <c r="E26" t="e">
        <f>'Employment Equity'!H50</f>
        <v>#DIV/0!</v>
      </c>
    </row>
    <row r="27">
      <c r="A27" t="str">
        <v xml:space="preserve">Black Women  </v>
      </c>
      <c r="B27">
        <v>0.3</v>
      </c>
      <c r="C27">
        <v>1</v>
      </c>
      <c r="D27" t="e">
        <f>E27/C27*B27</f>
        <v>#DIV/0!</v>
      </c>
      <c r="E27" t="e">
        <f>'Employment Equity'!H79</f>
        <v>#DIV/0!</v>
      </c>
    </row>
    <row r="28">
      <c r="A28" t="str">
        <v xml:space="preserve">Middle Management </v>
      </c>
    </row>
    <row r="29">
      <c r="A29" t="str">
        <v xml:space="preserve">Black People </v>
      </c>
      <c r="B29">
        <v>0.75</v>
      </c>
      <c r="C29">
        <v>2</v>
      </c>
      <c r="D29" t="e">
        <f>E29/C29*B29</f>
        <v>#DIV/0!</v>
      </c>
      <c r="E29" t="e">
        <f>'Employment Equity'!H108</f>
        <v>#DIV/0!</v>
      </c>
    </row>
    <row r="30">
      <c r="A30" t="str">
        <v xml:space="preserve">Black Women </v>
      </c>
      <c r="B30">
        <v>0.38</v>
      </c>
      <c r="C30">
        <v>1</v>
      </c>
      <c r="D30" t="e">
        <f>E30/C30*B30</f>
        <v>#DIV/0!</v>
      </c>
      <c r="E30" t="e">
        <f>'Employment Equity'!H139</f>
        <v>#DIV/0!</v>
      </c>
    </row>
    <row r="31">
      <c r="A31" t="str">
        <v>Junior Management</v>
      </c>
    </row>
    <row r="32">
      <c r="A32" t="str">
        <v xml:space="preserve">Black People </v>
      </c>
      <c r="B32">
        <v>0.88</v>
      </c>
      <c r="C32">
        <v>1</v>
      </c>
      <c r="D32" t="e">
        <f>E32/C32*B32</f>
        <v>#DIV/0!</v>
      </c>
      <c r="E32" t="e">
        <f>'Employment Equity'!H168</f>
        <v>#DIV/0!</v>
      </c>
    </row>
    <row r="33">
      <c r="A33" t="str">
        <v xml:space="preserve">Black Women </v>
      </c>
      <c r="B33">
        <v>0.44</v>
      </c>
      <c r="C33">
        <v>1</v>
      </c>
      <c r="D33" t="e">
        <f>E33/C33*B33</f>
        <v>#DIV/0!</v>
      </c>
      <c r="E33" t="e">
        <f>'Employment Equity'!H197</f>
        <v>#DIV/0!</v>
      </c>
    </row>
    <row r="34">
      <c r="A34" t="str">
        <v xml:space="preserve">Employees with disability </v>
      </c>
    </row>
    <row r="35">
      <c r="A35" t="str">
        <v xml:space="preserve">Black People </v>
      </c>
      <c r="B35">
        <v>0.02</v>
      </c>
      <c r="C35">
        <v>2</v>
      </c>
      <c r="D35" t="e">
        <f>'Employment Equity'!B204/'Employment Equity'!B205</f>
        <v>#DIV/0!</v>
      </c>
      <c r="E35" t="e">
        <f>MIN(D35/B35*C35,C35)</f>
        <v>#DIV/0!</v>
      </c>
    </row>
    <row r="36">
      <c r="A36" t="str">
        <v>Total</v>
      </c>
      <c r="C36">
        <f>SUM(C17,C18,C20,C21,C23,C24,C26,C27,C29,C30,C32,C33,C35)</f>
        <v>19</v>
      </c>
      <c r="E36" t="e">
        <f>SUM(E17:E18,E20:E21,E23:E24,E26:E27,E29:E30,E32:E33,E35)</f>
        <v>#DIV/0!</v>
      </c>
    </row>
    <row r="37">
      <c r="A37" t="str">
        <v xml:space="preserve"> </v>
      </c>
    </row>
    <row r="38">
      <c r="A38" t="str">
        <v xml:space="preserve">Skills Development Expenditure </v>
      </c>
    </row>
    <row r="39">
      <c r="A39" t="str">
        <v xml:space="preserve">Black People Training </v>
      </c>
      <c r="B39">
        <v>0.035</v>
      </c>
      <c r="C39">
        <v>6</v>
      </c>
      <c r="D39" t="e">
        <f>E39/C39*B39</f>
        <v>#DIV/0!</v>
      </c>
      <c r="E39" t="e">
        <f>'Skills Development '!H44</f>
        <v>#DIV/0!</v>
      </c>
    </row>
    <row r="40">
      <c r="A40" t="str">
        <v xml:space="preserve">Black People Bursaries </v>
      </c>
      <c r="B40">
        <v>0.025</v>
      </c>
      <c r="C40">
        <v>4</v>
      </c>
      <c r="D40" t="e">
        <f>E40/C40*B40</f>
        <v>#DIV/0!</v>
      </c>
      <c r="E40" t="e">
        <f>'Skills Development '!H73</f>
        <v>#DIV/0!</v>
      </c>
    </row>
    <row r="41">
      <c r="A41" t="str">
        <v xml:space="preserve">Disabled Black People Training </v>
      </c>
      <c r="B41">
        <v>0.003</v>
      </c>
      <c r="C41">
        <v>4</v>
      </c>
      <c r="D41" t="e">
        <f>'Skills Development '!B109/'Skills Development '!B110</f>
        <v>#DIV/0!</v>
      </c>
      <c r="E41" t="e">
        <f>MIN(D41/B41*C41,C41)</f>
        <v>#DIV/0!</v>
      </c>
    </row>
    <row r="42">
      <c r="A42" t="str">
        <v xml:space="preserve">Learnerships </v>
      </c>
    </row>
    <row r="43">
      <c r="A43" t="str">
        <v xml:space="preserve">All employees on  learnerships, interns and apprentices </v>
      </c>
      <c r="B43">
        <v>0.05</v>
      </c>
      <c r="C43">
        <v>6</v>
      </c>
      <c r="D43" t="e">
        <f>E43/C43*B43</f>
        <v>#DIV/0!</v>
      </c>
      <c r="E43" t="e">
        <f>'Skills Development '!H102</f>
        <v>#DIV/0!</v>
      </c>
    </row>
    <row r="44">
      <c r="A44" t="str">
        <v xml:space="preserve">Bonus Points </v>
      </c>
    </row>
    <row r="45">
      <c r="A45" t="str">
        <v xml:space="preserve">Absorption of Learners </v>
      </c>
      <c r="B45">
        <v>1</v>
      </c>
      <c r="C45">
        <v>5</v>
      </c>
      <c r="D45" t="e">
        <f>'Skills Development '!B115/'Skills Development '!B116</f>
        <v>#DIV/0!</v>
      </c>
      <c r="E45" t="e">
        <f>MIN(D45/B45*C45,C45)</f>
        <v>#DIV/0!</v>
      </c>
    </row>
    <row r="46">
      <c r="A46" t="str">
        <v>Total</v>
      </c>
      <c r="C46">
        <f>SUM(C39,C40,C41,C43)</f>
        <v>20</v>
      </c>
      <c r="E46" t="e">
        <f>SUM(E39:E41,E43:E43,E45)</f>
        <v>#DIV/0!</v>
      </c>
    </row>
    <row r="47">
      <c r="A47" t="str">
        <v xml:space="preserve">Enterprise and Supplier Development </v>
      </c>
    </row>
    <row r="48">
      <c r="A48" t="str">
        <v>Expenditure will all Suppliers</v>
      </c>
    </row>
    <row r="49">
      <c r="A49" t="str">
        <v xml:space="preserve">BEE Suppliers </v>
      </c>
      <c r="B49">
        <v>0.8</v>
      </c>
      <c r="C49">
        <v>5</v>
      </c>
      <c r="D49">
        <f>'7 TMPS '!F15/'7 TMPS '!B25</f>
        <v>1.62</v>
      </c>
      <c r="E49">
        <f>MIN(D49/B49*C49,C49)</f>
        <v>5</v>
      </c>
    </row>
    <row r="50">
      <c r="A50" t="str">
        <v>Expenditure with small and medium size suppliers</v>
      </c>
    </row>
    <row r="51">
      <c r="A51" t="str">
        <v xml:space="preserve">QSEs </v>
      </c>
      <c r="B51">
        <v>0.15</v>
      </c>
      <c r="C51">
        <v>3</v>
      </c>
      <c r="D51">
        <f>'7 TMPS '!G15/'7 TMPS '!B25</f>
        <v>0</v>
      </c>
      <c r="E51">
        <f>MIN(D51/B51*C51,C51)</f>
        <v>0</v>
      </c>
    </row>
    <row r="52">
      <c r="A52" t="str">
        <v>EMEs</v>
      </c>
      <c r="B52">
        <v>0.15</v>
      </c>
      <c r="C52">
        <v>4</v>
      </c>
      <c r="D52">
        <f>'7 TMPS '!H15/'7 TMPS '!B25</f>
        <v>1.62</v>
      </c>
      <c r="E52">
        <f>MIN(D52/B52*C52,C52)</f>
        <v>4</v>
      </c>
    </row>
    <row r="53">
      <c r="A53" t="str">
        <v xml:space="preserve">Expenditure with at least 51% black owned suppliers </v>
      </c>
    </row>
    <row r="54">
      <c r="A54" t="str">
        <v xml:space="preserve">Black Owned  </v>
      </c>
      <c r="B54">
        <v>0.5</v>
      </c>
      <c r="C54">
        <v>11</v>
      </c>
      <c r="D54">
        <f>'7 TMPS '!I15/'7 TMPS '!B25</f>
        <v>1.62</v>
      </c>
      <c r="E54">
        <f>MIN(D54/B54*C54,C54)</f>
        <v>11</v>
      </c>
    </row>
    <row r="55">
      <c r="A55" t="str">
        <v xml:space="preserve">Expenditure with at least 30% black woman owned suppliers </v>
      </c>
    </row>
    <row r="56">
      <c r="A56" t="str">
        <v xml:space="preserve">Black Women </v>
      </c>
      <c r="B56">
        <v>0.12</v>
      </c>
      <c r="C56">
        <v>4</v>
      </c>
      <c r="D56">
        <f>'7 TMPS '!J15/'7 TMPS '!B25</f>
        <v>0</v>
      </c>
      <c r="E56">
        <f>MIN(D56/B56*C56,C56)</f>
        <v>0</v>
      </c>
    </row>
    <row r="57">
      <c r="A57" t="str">
        <v xml:space="preserve">Expenditure with at least 51% black designated groups owned suppliers </v>
      </c>
    </row>
    <row r="58">
      <c r="A58" t="str">
        <v>Suppliers</v>
      </c>
      <c r="B58">
        <v>0.02</v>
      </c>
      <c r="C58">
        <v>2</v>
      </c>
      <c r="D58">
        <f>'7 TMPS '!K15/'7 TMPS '!B25</f>
        <v>0</v>
      </c>
      <c r="E58">
        <f>MIN(D58/B58*C58,C58)</f>
        <v>0</v>
      </c>
    </row>
    <row r="59">
      <c r="A59" t="str">
        <v xml:space="preserve">Enterprise Development </v>
      </c>
    </row>
    <row r="60">
      <c r="A60" t="str">
        <v xml:space="preserve">Annual spend </v>
      </c>
      <c r="B60">
        <v>0.01</v>
      </c>
      <c r="C60">
        <v>5</v>
      </c>
      <c r="D60" t="e">
        <f>'ED &amp; SD'!C39/'ED &amp; SD'!B19</f>
        <v>#DIV/0!</v>
      </c>
      <c r="E60" t="e">
        <f>MIN(D60/B60*C60,C60)</f>
        <v>#DIV/0!</v>
      </c>
    </row>
    <row r="61">
      <c r="A61" t="str">
        <v xml:space="preserve">Supplier Development </v>
      </c>
    </row>
    <row r="62">
      <c r="A62" t="str">
        <v xml:space="preserve">Annual spend  </v>
      </c>
      <c r="B62">
        <v>0.02</v>
      </c>
      <c r="C62">
        <v>10</v>
      </c>
      <c r="D62" t="e">
        <f>'ED &amp; SD'!C60/'ED &amp; SD'!B19</f>
        <v>#DIV/0!</v>
      </c>
      <c r="E62" t="e">
        <f>MIN(D62/B62*C62,C62)</f>
        <v>#DIV/0!</v>
      </c>
    </row>
    <row r="63">
      <c r="A63" t="str">
        <v xml:space="preserve">Bonus Points </v>
      </c>
    </row>
    <row r="64">
      <c r="A64" t="str">
        <v xml:space="preserve">Job Creation </v>
      </c>
      <c r="B64" t="str">
        <v>Yes/No</v>
      </c>
      <c r="C64">
        <v>1</v>
      </c>
      <c r="D64" t="str">
        <v>No</v>
      </c>
      <c r="E64">
        <v>0</v>
      </c>
    </row>
    <row r="65">
      <c r="A65" t="str">
        <v>Graduation from ED to SD</v>
      </c>
      <c r="B65" t="str">
        <v>Yes/No</v>
      </c>
      <c r="C65">
        <v>1</v>
      </c>
      <c r="D65" t="str">
        <v>No</v>
      </c>
      <c r="E65">
        <v>0</v>
      </c>
    </row>
    <row r="66">
      <c r="A66" t="str">
        <v>Total</v>
      </c>
      <c r="C66">
        <f>SUM(C49,C51:C52,C54,C56,C60,C62)</f>
        <v>42</v>
      </c>
      <c r="E66" t="e">
        <f>SUM(E49,E51,E52,E54,E56,E58,E60,E62,E64,E65)</f>
        <v>#DIV/0!</v>
      </c>
    </row>
    <row r="67">
      <c r="A67" t="str">
        <v xml:space="preserve">Socio Economic Development </v>
      </c>
    </row>
    <row r="68">
      <c r="A68" t="str">
        <v xml:space="preserve">Annual spend </v>
      </c>
      <c r="B68">
        <v>0.01</v>
      </c>
      <c r="C68">
        <v>5</v>
      </c>
      <c r="D68" t="e">
        <f>SED!C28/SED!B9</f>
        <v>#DIV/0!</v>
      </c>
      <c r="E68" t="e">
        <f>MIN(D68/B68*C68,C68)</f>
        <v>#DIV/0!</v>
      </c>
    </row>
    <row r="69">
      <c r="A69" t="str">
        <v xml:space="preserve">Total </v>
      </c>
      <c r="C69">
        <f>C68</f>
        <v>5</v>
      </c>
      <c r="E69" t="e">
        <f>E68</f>
        <v>#DIV/0!</v>
      </c>
    </row>
    <row r="70">
      <c r="A70" t="str">
        <v xml:space="preserve">Scorecard Total </v>
      </c>
      <c r="C70">
        <f>SUM(C14,C36,C46,C66,C69)</f>
        <v>111</v>
      </c>
      <c r="E70" t="e">
        <f>E36+E46+E66+E69+E14</f>
        <v>#DIV/0!</v>
      </c>
    </row>
  </sheetData>
  <mergeCells count="33">
    <mergeCell ref="A1:E1"/>
    <mergeCell ref="A14:B14"/>
    <mergeCell ref="A2:E2"/>
    <mergeCell ref="A4:E4"/>
    <mergeCell ref="A7:E7"/>
    <mergeCell ref="A12:E12"/>
    <mergeCell ref="A15:E15"/>
    <mergeCell ref="A16:E16"/>
    <mergeCell ref="A19:E19"/>
    <mergeCell ref="A22:E22"/>
    <mergeCell ref="A25:E25"/>
    <mergeCell ref="A28:E28"/>
    <mergeCell ref="A31:E31"/>
    <mergeCell ref="A34:E34"/>
    <mergeCell ref="A57:E57"/>
    <mergeCell ref="A36:B36"/>
    <mergeCell ref="A37:E37"/>
    <mergeCell ref="A38:E38"/>
    <mergeCell ref="A42:E42"/>
    <mergeCell ref="A46:B46"/>
    <mergeCell ref="A47:E47"/>
    <mergeCell ref="A48:E48"/>
    <mergeCell ref="A50:E50"/>
    <mergeCell ref="A53:E53"/>
    <mergeCell ref="A55:E55"/>
    <mergeCell ref="A44:E44"/>
    <mergeCell ref="A67:E67"/>
    <mergeCell ref="A69:B69"/>
    <mergeCell ref="A70:B70"/>
    <mergeCell ref="A59:E59"/>
    <mergeCell ref="A61:E61"/>
    <mergeCell ref="A66:B66"/>
    <mergeCell ref="A63:E63"/>
  </mergeCells>
  <pageMargins left="0" right="0" top="0" bottom="0" header="0" footer="0"/>
  <ignoredErrors>
    <ignoredError numberStoredAsText="1" sqref="A1:E7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L35"/>
  <sheetViews>
    <sheetView workbookViewId="0" rightToLeft="0"/>
  </sheetViews>
  <sheetData>
    <row r="1">
      <c r="A1" t="str">
        <v xml:space="preserve">All Industries </v>
      </c>
    </row>
    <row r="2">
      <c r="A2" t="str">
        <v xml:space="preserve">Quarter </v>
      </c>
      <c r="B2">
        <v>1</v>
      </c>
      <c r="C2">
        <v>2</v>
      </c>
      <c r="D2">
        <v>3</v>
      </c>
      <c r="E2">
        <v>4</v>
      </c>
      <c r="F2">
        <v>5</v>
      </c>
      <c r="G2" t="str">
        <v>Avarage</v>
      </c>
    </row>
    <row r="3">
      <c r="A3" t="str">
        <v>Turnover (million)</v>
      </c>
      <c r="B3">
        <v>3418779</v>
      </c>
      <c r="C3">
        <v>3463975</v>
      </c>
      <c r="D3">
        <v>3647303</v>
      </c>
      <c r="E3">
        <v>3458317</v>
      </c>
      <c r="F3">
        <v>3635457</v>
      </c>
      <c r="G3">
        <f>SUM(B3:F3)</f>
        <v>17623831</v>
      </c>
      <c r="H3" t="str">
        <v>Refer to Table 1 of the Financial Statistics issued by StatsSA</v>
      </c>
    </row>
    <row r="4">
      <c r="A4" t="str">
        <v>NPBT (million)</v>
      </c>
      <c r="B4">
        <v>228295</v>
      </c>
      <c r="C4">
        <v>222260</v>
      </c>
      <c r="D4">
        <v>311626</v>
      </c>
      <c r="E4">
        <v>214033</v>
      </c>
      <c r="F4">
        <v>274658</v>
      </c>
      <c r="G4">
        <f>SUM(B4:F4)</f>
        <v>1250872</v>
      </c>
    </row>
    <row r="5">
      <c r="A5" t="str">
        <v xml:space="preserve">Company Tax </v>
      </c>
      <c r="B5">
        <v>44180</v>
      </c>
      <c r="C5">
        <v>41046</v>
      </c>
      <c r="D5">
        <v>61745</v>
      </c>
      <c r="E5">
        <v>46294</v>
      </c>
      <c r="F5">
        <v>48588</v>
      </c>
      <c r="G5">
        <f>SUM(B5:F5)</f>
        <v>241853</v>
      </c>
    </row>
    <row r="6">
      <c r="A6" t="str">
        <v xml:space="preserve">NPAT </v>
      </c>
      <c r="B6">
        <f>B4-B5</f>
        <v>184115</v>
      </c>
      <c r="C6">
        <f>C4-C5</f>
        <v>181214</v>
      </c>
      <c r="D6">
        <f>D4-D5</f>
        <v>249881</v>
      </c>
      <c r="E6">
        <f>E4-E5</f>
        <v>167739</v>
      </c>
      <c r="F6">
        <f>F4-F5</f>
        <v>226070</v>
      </c>
      <c r="G6">
        <f>SUM(B6:F6)</f>
        <v>1009019</v>
      </c>
    </row>
    <row r="8">
      <c r="A8" t="str">
        <v xml:space="preserve">Industry profit norm before tax </v>
      </c>
      <c r="B8" t="str">
        <v>N/A</v>
      </c>
    </row>
    <row r="10">
      <c r="A10" t="str">
        <v>Industry profit norm after tax</v>
      </c>
      <c r="B10">
        <f>G6/G3</f>
        <v>0.05725310234761103</v>
      </c>
    </row>
    <row r="12">
      <c r="A12" t="str">
        <v>Multiplier applicable</v>
      </c>
      <c r="B12">
        <f>B10*0.25</f>
        <v>0.014313275586902758</v>
      </c>
    </row>
    <row r="14">
      <c r="A14" t="str">
        <v xml:space="preserve">Measurement Period </v>
      </c>
    </row>
    <row r="15">
      <c r="A15" t="str">
        <v xml:space="preserve">2024 Revenue </v>
      </c>
      <c r="B15">
        <v>40000000</v>
      </c>
    </row>
    <row r="17">
      <c r="A17" t="str">
        <v xml:space="preserve">Deemed NPAT </v>
      </c>
      <c r="B17">
        <f>B12*B15</f>
        <v>572531.0234761103</v>
      </c>
    </row>
    <row r="19">
      <c r="A19" t="str">
        <v xml:space="preserve">Comparison between actual NPAT and deemed NPAT </v>
      </c>
    </row>
    <row r="21">
      <c r="A21" t="str">
        <v xml:space="preserve">Deemed NPAT </v>
      </c>
      <c r="B21">
        <f>B15*B12</f>
        <v>572531.0234761103</v>
      </c>
    </row>
    <row r="23">
      <c r="A23" t="str">
        <v xml:space="preserve">Actual NPAT </v>
      </c>
      <c r="B23">
        <v>2000000</v>
      </c>
    </row>
    <row r="25">
      <c r="A25" t="str">
        <v>Apply the greater of the two for calculation purposes</v>
      </c>
    </row>
    <row r="27">
      <c r="A27" t="str">
        <v xml:space="preserve">Result </v>
      </c>
      <c r="B27">
        <f>B23</f>
        <v>2000000</v>
      </c>
    </row>
    <row r="29">
      <c r="A29" t="str">
        <v xml:space="preserve">Target Amounts for contributions </v>
      </c>
    </row>
    <row r="30">
      <c r="A30" t="str">
        <v xml:space="preserve">Category </v>
      </c>
      <c r="B30" t="str">
        <v>Target %</v>
      </c>
      <c r="C30" t="str">
        <v xml:space="preserve">Target Amount </v>
      </c>
    </row>
    <row r="31">
      <c r="A31" t="str">
        <v xml:space="preserve">Supplier Development </v>
      </c>
      <c r="B31">
        <v>0.02</v>
      </c>
      <c r="C31">
        <f>B31*B27</f>
        <v>40000</v>
      </c>
    </row>
    <row r="33">
      <c r="A33" t="str">
        <v xml:space="preserve">Enterprise Development </v>
      </c>
      <c r="B33">
        <v>0.01</v>
      </c>
      <c r="C33">
        <f>B27*B33</f>
        <v>20000</v>
      </c>
    </row>
    <row r="35">
      <c r="A35" t="str">
        <v xml:space="preserve">Socio Economic Development </v>
      </c>
      <c r="B35">
        <v>0.01</v>
      </c>
      <c r="C35">
        <f>B27*B35</f>
        <v>20000</v>
      </c>
    </row>
  </sheetData>
  <mergeCells count="3">
    <mergeCell ref="A1:I1"/>
    <mergeCell ref="H3:I5"/>
    <mergeCell ref="A29:C29"/>
  </mergeCells>
  <hyperlinks>
    <hyperlink ref="C30" r:id="rId1"/>
  </hyperlinks>
  <pageMargins left="0.7" right="0.7" top="0.75" bottom="0.75" header="0.3" footer="0.3"/>
  <ignoredErrors>
    <ignoredError numberStoredAsText="1" sqref="A1:L3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M29"/>
  <sheetViews>
    <sheetView workbookViewId="0" rightToLeft="0"/>
  </sheetViews>
  <sheetData>
    <row r="1">
      <c r="A1" t="str">
        <v xml:space="preserve">Table for targets </v>
      </c>
    </row>
    <row r="2">
      <c r="A2" t="str">
        <v>TOTAL REVENUE BAND (RM)</v>
      </c>
      <c r="B2" t="str">
        <v>MINIMUM BLACK YOUTH JOBS</v>
      </c>
    </row>
    <row r="3">
      <c r="A3" t="str">
        <v>50 – 75</v>
      </c>
      <c r="B3">
        <v>6</v>
      </c>
      <c r="G3" t="str">
        <v>Avarage subminim</v>
      </c>
      <c r="I3" t="e">
        <f>M6/M5</f>
        <v>#DIV/0!</v>
      </c>
    </row>
    <row r="4">
      <c r="A4" t="str">
        <v>75 – 99</v>
      </c>
      <c r="B4">
        <v>7</v>
      </c>
      <c r="H4" t="str">
        <v xml:space="preserve">Ownership </v>
      </c>
      <c r="I4" t="str">
        <v xml:space="preserve">Skills </v>
      </c>
      <c r="J4" t="str">
        <v>Procurement</v>
      </c>
      <c r="K4" t="str">
        <v>Supplier development</v>
      </c>
      <c r="L4" t="str">
        <v>Enterprise development</v>
      </c>
    </row>
    <row r="5">
      <c r="A5" t="str">
        <v>100 – 149</v>
      </c>
      <c r="B5">
        <v>8</v>
      </c>
      <c r="G5" t="str">
        <v xml:space="preserve">Points </v>
      </c>
      <c r="H5">
        <v>8</v>
      </c>
      <c r="I5">
        <v>20</v>
      </c>
      <c r="J5">
        <v>27</v>
      </c>
      <c r="K5">
        <v>10</v>
      </c>
      <c r="L5">
        <v>5</v>
      </c>
      <c r="M5">
        <f>H5+I5+J5+K5+L5</f>
        <v>70</v>
      </c>
    </row>
    <row r="6">
      <c r="A6" t="str">
        <v>150 – 199</v>
      </c>
      <c r="B6">
        <v>9</v>
      </c>
      <c r="G6" t="str">
        <v xml:space="preserve">Current </v>
      </c>
      <c r="H6">
        <f>Ownership!E11</f>
        <v>8</v>
      </c>
      <c r="I6" t="e">
        <f>'Skills Development '!E17</f>
        <v>#DIV/0!</v>
      </c>
      <c r="J6">
        <f>'Procurement Scorecard'!E12</f>
        <v>20</v>
      </c>
      <c r="K6" t="e">
        <f>'ED &amp; SD'!E8</f>
        <v>#DIV/0!</v>
      </c>
      <c r="L6" t="e">
        <f>'ED &amp; SD'!E5</f>
        <v>#DIV/0!</v>
      </c>
      <c r="M6" t="e">
        <f>H6+I6+J6+K6+L6</f>
        <v>#DIV/0!</v>
      </c>
    </row>
    <row r="7">
      <c r="A7" t="str">
        <v>200 – 249</v>
      </c>
      <c r="B7">
        <v>10</v>
      </c>
    </row>
    <row r="8">
      <c r="A8" t="str">
        <v>250 – 299</v>
      </c>
      <c r="B8">
        <v>11</v>
      </c>
    </row>
    <row r="9">
      <c r="A9" t="str">
        <v>300 – 349</v>
      </c>
      <c r="B9">
        <v>12</v>
      </c>
    </row>
    <row r="10">
      <c r="A10" t="str">
        <v>350 – 399</v>
      </c>
      <c r="B10">
        <v>13</v>
      </c>
    </row>
    <row r="11">
      <c r="A11" t="str">
        <v>400 – 449</v>
      </c>
      <c r="B11">
        <v>14</v>
      </c>
      <c r="L11" t="str">
        <v xml:space="preserve"> </v>
      </c>
    </row>
    <row r="12">
      <c r="A12" t="str">
        <v>450 – 500+</v>
      </c>
      <c r="B12">
        <v>15</v>
      </c>
    </row>
    <row r="15">
      <c r="A15" t="str">
        <v>Calculations 1</v>
      </c>
    </row>
    <row r="16">
      <c r="A16" t="str">
        <v xml:space="preserve">percentage </v>
      </c>
      <c r="B16">
        <v>0.015</v>
      </c>
      <c r="G16" t="str">
        <v>Absorption Target</v>
      </c>
    </row>
    <row r="17">
      <c r="A17" t="str">
        <v>Headcount</v>
      </c>
      <c r="B17">
        <v>760</v>
      </c>
      <c r="G17" t="str">
        <v>1 level Recognation</v>
      </c>
      <c r="H17">
        <f>B27*2.5%</f>
        <v>0</v>
      </c>
    </row>
    <row r="18">
      <c r="A18" t="str">
        <v xml:space="preserve">Total </v>
      </c>
      <c r="B18">
        <f>B17*B16</f>
        <v>11.4</v>
      </c>
      <c r="G18" t="str">
        <v>1 level recognations plus 3 bonus points</v>
      </c>
      <c r="H18">
        <f>B27*1.5*5%</f>
        <v>0</v>
      </c>
    </row>
    <row r="19">
      <c r="G19" t="str">
        <v>2 Level recognation</v>
      </c>
      <c r="H19">
        <f>B27*2*5%</f>
        <v>0</v>
      </c>
    </row>
    <row r="20">
      <c r="A20" t="str">
        <v xml:space="preserve">Calculation 2 </v>
      </c>
    </row>
    <row r="21">
      <c r="A21" t="str">
        <v xml:space="preserve">Percentage </v>
      </c>
      <c r="B21">
        <v>0.015</v>
      </c>
      <c r="G21" t="str">
        <v xml:space="preserve">Avarage Npat </v>
      </c>
    </row>
    <row r="22">
      <c r="A22" t="str">
        <v>Average for 3 year</v>
      </c>
      <c r="B22">
        <f>H21</f>
        <v>0</v>
      </c>
      <c r="G22" t="str">
        <v>Year 1</v>
      </c>
    </row>
    <row r="23">
      <c r="A23" t="str">
        <v>Average NPAT</v>
      </c>
      <c r="B23">
        <f>B22*B21</f>
        <v>0</v>
      </c>
      <c r="G23" t="str">
        <v>Year 2</v>
      </c>
    </row>
    <row r="24">
      <c r="A24" t="str">
        <v>Division Count</v>
      </c>
      <c r="B24">
        <v>55000</v>
      </c>
      <c r="G24" t="str">
        <v>Year 3</v>
      </c>
    </row>
    <row r="25">
      <c r="A25" t="str">
        <v xml:space="preserve">Headcount </v>
      </c>
      <c r="B25">
        <f>B23/B24</f>
        <v>0</v>
      </c>
    </row>
    <row r="27">
      <c r="A27" t="str">
        <v>Highest of the Calc</v>
      </c>
    </row>
    <row r="28">
      <c r="A28" t="str">
        <v xml:space="preserve">Target acheaved </v>
      </c>
      <c r="B28">
        <v>1</v>
      </c>
    </row>
    <row r="29">
      <c r="B29">
        <v>0.025</v>
      </c>
    </row>
  </sheetData>
  <mergeCells count="2">
    <mergeCell ref="G3:H3"/>
    <mergeCell ref="I3:M3"/>
  </mergeCells>
  <pageMargins left="0.7" right="0.7" top="0.75" bottom="0.75" header="0.3" footer="0.3"/>
  <ignoredErrors>
    <ignoredError numberStoredAsText="1" sqref="A1:M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 </vt:lpstr>
      <vt:lpstr>Ownership</vt:lpstr>
      <vt:lpstr>Management Control</vt:lpstr>
      <vt:lpstr>3 Board Members </vt:lpstr>
      <vt:lpstr>4 Executive Committe </vt:lpstr>
      <vt:lpstr>5 Staff List </vt:lpstr>
      <vt:lpstr>Employment Equity</vt:lpstr>
      <vt:lpstr>Skills Development </vt:lpstr>
      <vt:lpstr>Category A</vt:lpstr>
      <vt:lpstr>Category BCDE</vt:lpstr>
      <vt:lpstr>Category BCD(Hcount)</vt:lpstr>
      <vt:lpstr>Learner summary </vt:lpstr>
      <vt:lpstr>Category F&amp;G</vt:lpstr>
      <vt:lpstr>13 EMP201</vt:lpstr>
      <vt:lpstr>7 TMPS </vt:lpstr>
      <vt:lpstr>Procurement Scorecard</vt:lpstr>
      <vt:lpstr>Imports </vt:lpstr>
      <vt:lpstr>ED &amp; SD</vt:lpstr>
      <vt:lpstr>SED</vt:lpstr>
      <vt:lpstr>Full Scorecard</vt:lpstr>
      <vt:lpstr>NPAT Calculation</vt:lpstr>
      <vt:lpstr> Yes Targets 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2018-11-01T09:52:34Z</dcterms:created>
  <dcterms:modified xsi:type="dcterms:W3CDTF">2026-07-30T08:21:06Z</dcterms:modified>
  <cp:lastModifiedBy>Bongani Buthelezi</cp:lastModifiedBy>
  <dc:creator>Tshepo</dc:creator>
</cp:coreProperties>
</file>